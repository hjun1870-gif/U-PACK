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김훈희\Downloads\창고\창고\"/>
    </mc:Choice>
  </mc:AlternateContent>
  <bookViews>
    <workbookView xWindow="0" yWindow="0" windowWidth="47925" windowHeight="17160"/>
  </bookViews>
  <sheets>
    <sheet name="셀" sheetId="1" r:id="rId1"/>
    <sheet name="루" sheetId="8" r:id="rId2"/>
    <sheet name="리" sheetId="9" r:id="rId3"/>
    <sheet name="W1,캡창고" sheetId="10" r:id="rId4"/>
    <sheet name="W2" sheetId="11" r:id="rId5"/>
    <sheet name="W3" sheetId="12" r:id="rId6"/>
    <sheet name="액젓,비트,완제품" sheetId="13" r:id="rId7"/>
    <sheet name="TOTAL" sheetId="2" r:id="rId8"/>
  </sheets>
  <definedNames>
    <definedName name="_xlnm.Print_Area" localSheetId="3">'W1,캡창고'!$A$3:$AM$45</definedName>
    <definedName name="_xlnm.Print_Area" localSheetId="4">'W2'!$A$3:$AM$45</definedName>
    <definedName name="_xlnm.Print_Area" localSheetId="5">'W3'!$A$3:$AM$45</definedName>
    <definedName name="_xlnm.Print_Area" localSheetId="1">루!$A$3:$AM$45</definedName>
    <definedName name="_xlnm.Print_Area" localSheetId="2">리!$A$3:$AI$45</definedName>
    <definedName name="_xlnm.Print_Area" localSheetId="0">셀!$A$3:$Y$45</definedName>
    <definedName name="_xlnm.Print_Area" localSheetId="6">'액젓,비트,완제품'!$A$3:$AM$45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4" i="2" l="1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K96" i="2"/>
  <c r="I96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5" i="2" l="1"/>
  <c r="I97" i="2" l="1"/>
  <c r="K97" i="2" s="1"/>
  <c r="I98" i="2"/>
  <c r="K98" i="2" s="1"/>
  <c r="I99" i="2"/>
  <c r="K99" i="2" s="1"/>
  <c r="I100" i="2"/>
  <c r="K100" i="2" s="1"/>
  <c r="I106" i="2"/>
  <c r="K106" i="2" s="1"/>
  <c r="I107" i="2"/>
  <c r="K107" i="2" s="1"/>
  <c r="I108" i="2"/>
  <c r="K108" i="2" s="1"/>
  <c r="I112" i="2"/>
  <c r="K112" i="2" s="1"/>
  <c r="I113" i="2"/>
  <c r="K113" i="2" s="1"/>
  <c r="I101" i="2"/>
  <c r="K101" i="2" s="1"/>
  <c r="I102" i="2"/>
  <c r="K102" i="2" s="1"/>
  <c r="I103" i="2"/>
  <c r="K103" i="2" s="1"/>
  <c r="I104" i="2"/>
  <c r="K104" i="2" s="1"/>
  <c r="I105" i="2"/>
  <c r="K105" i="2" s="1"/>
  <c r="I109" i="2"/>
  <c r="K109" i="2" s="1"/>
  <c r="I110" i="2"/>
  <c r="K110" i="2" s="1"/>
  <c r="I111" i="2"/>
  <c r="K111" i="2" s="1"/>
  <c r="I5" i="2"/>
  <c r="K5" i="2" s="1"/>
  <c r="J4" i="13"/>
  <c r="H4" i="12"/>
  <c r="H4" i="11"/>
  <c r="H4" i="10"/>
  <c r="H4" i="9"/>
  <c r="H4" i="8"/>
  <c r="H4" i="1" l="1"/>
  <c r="J3" i="2" l="1"/>
</calcChain>
</file>

<file path=xl/sharedStrings.xml><?xml version="1.0" encoding="utf-8"?>
<sst xmlns="http://schemas.openxmlformats.org/spreadsheetml/2006/main" count="723" uniqueCount="358">
  <si>
    <t>M300</t>
  </si>
  <si>
    <t>M500</t>
  </si>
  <si>
    <t>D300</t>
  </si>
  <si>
    <t>PP300</t>
  </si>
  <si>
    <t>수출M300</t>
  </si>
  <si>
    <t>수출M500</t>
  </si>
  <si>
    <t>K300</t>
  </si>
  <si>
    <t>K500</t>
  </si>
  <si>
    <t>K760</t>
  </si>
  <si>
    <t>K930</t>
  </si>
  <si>
    <t>S250</t>
  </si>
  <si>
    <t>S400</t>
  </si>
  <si>
    <t>UK400</t>
  </si>
  <si>
    <t>UK600</t>
  </si>
  <si>
    <t>초500</t>
  </si>
  <si>
    <t>초300</t>
  </si>
  <si>
    <t>쇠고기비빔</t>
  </si>
  <si>
    <t>수출찰</t>
  </si>
  <si>
    <t>만능볶음</t>
  </si>
  <si>
    <t>만능비빔</t>
  </si>
  <si>
    <t>돌솥비빔밥</t>
  </si>
  <si>
    <t>오푸드할랄</t>
  </si>
  <si>
    <t>오푸드떡볶이</t>
  </si>
  <si>
    <t>중국고추장</t>
  </si>
  <si>
    <t>중국떡볶이</t>
  </si>
  <si>
    <t>중국폭탄맛</t>
  </si>
  <si>
    <t>중국쌈장</t>
  </si>
  <si>
    <t>매일연유</t>
  </si>
  <si>
    <t>서강크리밀</t>
  </si>
  <si>
    <t>서강연유</t>
  </si>
  <si>
    <t>서강발사믹</t>
  </si>
  <si>
    <t>서강딸기</t>
  </si>
  <si>
    <t>서강초코</t>
  </si>
  <si>
    <t>사조300</t>
  </si>
  <si>
    <t>사조500</t>
  </si>
  <si>
    <t>SF200</t>
  </si>
  <si>
    <t>PT200</t>
  </si>
  <si>
    <t>HS250</t>
  </si>
  <si>
    <t>SM300</t>
  </si>
  <si>
    <t>SI460</t>
  </si>
  <si>
    <t>YM460</t>
  </si>
  <si>
    <t>YK460</t>
  </si>
  <si>
    <t>오푸드비빔</t>
  </si>
  <si>
    <t>오푸드볶음</t>
  </si>
  <si>
    <t>오푸드비빔밥</t>
  </si>
  <si>
    <t>폭탄맛/동남아</t>
  </si>
  <si>
    <t>핵폭탄맛/동남아</t>
  </si>
  <si>
    <t>오푸드쌈장</t>
  </si>
  <si>
    <t>폭탄맛/호주</t>
  </si>
  <si>
    <t>핵폭탄맛/호주</t>
  </si>
  <si>
    <t>N215</t>
  </si>
  <si>
    <t>미소215</t>
  </si>
  <si>
    <t>SN215</t>
  </si>
  <si>
    <t>유럽N215</t>
  </si>
  <si>
    <t>유럽미소215</t>
  </si>
  <si>
    <t>유럽SN215</t>
  </si>
  <si>
    <t>쌈장215</t>
  </si>
  <si>
    <t>쌈장215망고</t>
  </si>
  <si>
    <t>HW160</t>
  </si>
  <si>
    <t>DS60</t>
  </si>
  <si>
    <t>이지엔70</t>
  </si>
  <si>
    <t>쉐이킹70(각인)</t>
  </si>
  <si>
    <t>푸딩70(시즌3)</t>
  </si>
  <si>
    <t>아토팜300S</t>
  </si>
  <si>
    <t>아토팜460S</t>
  </si>
  <si>
    <t>P아토팜460S</t>
  </si>
  <si>
    <t>아토팜200M</t>
  </si>
  <si>
    <t>아토팜300M</t>
  </si>
  <si>
    <t>아토팜460M</t>
  </si>
  <si>
    <t>이혜준</t>
    <phoneticPr fontId="2" type="noConversion"/>
  </si>
  <si>
    <t>제 품 명</t>
    <phoneticPr fontId="2" type="noConversion"/>
  </si>
  <si>
    <t>재 고</t>
    <phoneticPr fontId="2" type="noConversion"/>
  </si>
  <si>
    <t>출 고</t>
    <phoneticPr fontId="2" type="noConversion"/>
  </si>
  <si>
    <t>합 계</t>
    <phoneticPr fontId="2" type="noConversion"/>
  </si>
  <si>
    <t>판 매 일 보</t>
    <phoneticPr fontId="2" type="noConversion"/>
  </si>
  <si>
    <t>차이</t>
    <phoneticPr fontId="2" type="noConversion"/>
  </si>
  <si>
    <t>비트일반용</t>
    <phoneticPr fontId="2" type="noConversion"/>
  </si>
  <si>
    <t>비트드럼용</t>
    <phoneticPr fontId="2" type="noConversion"/>
  </si>
  <si>
    <t>쉐이킹70(인쇄)</t>
    <phoneticPr fontId="2" type="noConversion"/>
  </si>
  <si>
    <t>JD300</t>
    <phoneticPr fontId="2" type="noConversion"/>
  </si>
  <si>
    <t>시아스300</t>
    <phoneticPr fontId="2" type="noConversion"/>
  </si>
  <si>
    <t>팔도300</t>
    <phoneticPr fontId="2" type="noConversion"/>
  </si>
  <si>
    <t>맥코믹300</t>
    <phoneticPr fontId="2" type="noConversion"/>
  </si>
  <si>
    <t>맥코믹1000</t>
    <phoneticPr fontId="2" type="noConversion"/>
  </si>
  <si>
    <t>새콤초300</t>
    <phoneticPr fontId="2" type="noConversion"/>
  </si>
  <si>
    <t>사과듬뿍290</t>
    <phoneticPr fontId="2" type="noConversion"/>
  </si>
  <si>
    <t>우리쌀290</t>
    <phoneticPr fontId="2" type="noConversion"/>
  </si>
  <si>
    <t>새콤초500</t>
    <phoneticPr fontId="2" type="noConversion"/>
  </si>
  <si>
    <t>사과듬뿍470</t>
    <phoneticPr fontId="2" type="noConversion"/>
  </si>
  <si>
    <t>YJ100S</t>
  </si>
  <si>
    <t>YJ130S</t>
  </si>
  <si>
    <t>YJ170S</t>
  </si>
  <si>
    <t>YJ200S</t>
  </si>
  <si>
    <t>YJ250S</t>
  </si>
  <si>
    <t>YJ300S</t>
  </si>
  <si>
    <t>YJ500S</t>
  </si>
  <si>
    <t>YJ1000S</t>
  </si>
  <si>
    <t>고YJ100S</t>
  </si>
  <si>
    <t>고YJ130S</t>
  </si>
  <si>
    <t>고YJ170S</t>
  </si>
  <si>
    <t>고YJ200S</t>
  </si>
  <si>
    <t>고YJ250S</t>
  </si>
  <si>
    <t>고YJ300S</t>
  </si>
  <si>
    <t>고YJ500S</t>
  </si>
  <si>
    <t>고YJ1000S</t>
  </si>
  <si>
    <t>YH300S</t>
  </si>
  <si>
    <t>YH500S</t>
  </si>
  <si>
    <t>YG400S</t>
  </si>
  <si>
    <t>YG500S</t>
  </si>
  <si>
    <t>YG600S</t>
  </si>
  <si>
    <t>광구300S</t>
  </si>
  <si>
    <t>광구500S</t>
  </si>
  <si>
    <t>광구1000S</t>
  </si>
  <si>
    <t>Y광구500S</t>
  </si>
  <si>
    <t>고YH300S</t>
  </si>
  <si>
    <t>WYJ100S</t>
  </si>
  <si>
    <t>WYJ200S</t>
  </si>
  <si>
    <t>WYJ250S</t>
  </si>
  <si>
    <t>WYJ300S</t>
  </si>
  <si>
    <t>WYJ500S</t>
  </si>
  <si>
    <t>YJ100M</t>
  </si>
  <si>
    <t>YJ130M</t>
  </si>
  <si>
    <t>YJ170M</t>
  </si>
  <si>
    <t>YJ200M</t>
  </si>
  <si>
    <t>YJ250M</t>
  </si>
  <si>
    <t>YJ300M</t>
  </si>
  <si>
    <t>YJ500M</t>
  </si>
  <si>
    <t>YJ1000M</t>
  </si>
  <si>
    <t>고YJ100M</t>
  </si>
  <si>
    <t>고YJ130M</t>
  </si>
  <si>
    <t>고YJ170M</t>
  </si>
  <si>
    <t>고YJ200M</t>
  </si>
  <si>
    <t>고YJ250M</t>
  </si>
  <si>
    <t>고YJ300M</t>
  </si>
  <si>
    <t>고YJ500M</t>
  </si>
  <si>
    <t>고YJ1000M</t>
  </si>
  <si>
    <t>YH300M</t>
  </si>
  <si>
    <t>YH500M</t>
  </si>
  <si>
    <t>YG400M</t>
  </si>
  <si>
    <t>YG500M</t>
  </si>
  <si>
    <t>광구500M</t>
  </si>
  <si>
    <t>광구1000M</t>
  </si>
  <si>
    <t>고YH300M</t>
  </si>
  <si>
    <t>WYJ100M</t>
  </si>
  <si>
    <t>WYJ200M</t>
  </si>
  <si>
    <t>WYJ250M</t>
  </si>
  <si>
    <t>WYJ300M</t>
  </si>
  <si>
    <t>WYJ500M</t>
  </si>
  <si>
    <t>제품</t>
    <phoneticPr fontId="2" type="noConversion"/>
  </si>
  <si>
    <t>제품</t>
    <phoneticPr fontId="2" type="noConversion"/>
  </si>
  <si>
    <t>제품</t>
    <phoneticPr fontId="2" type="noConversion"/>
  </si>
  <si>
    <t>제품</t>
    <phoneticPr fontId="2" type="noConversion"/>
  </si>
  <si>
    <t>제품</t>
    <phoneticPr fontId="2" type="noConversion"/>
  </si>
  <si>
    <t>P</t>
    <phoneticPr fontId="2" type="noConversion"/>
  </si>
  <si>
    <t>B</t>
    <phoneticPr fontId="2" type="noConversion"/>
  </si>
  <si>
    <t>&lt;재고조사표 - B1&gt;</t>
    <phoneticPr fontId="2" type="noConversion"/>
  </si>
  <si>
    <t>입 수 량</t>
    <phoneticPr fontId="2" type="noConversion"/>
  </si>
  <si>
    <t>P</t>
    <phoneticPr fontId="2" type="noConversion"/>
  </si>
  <si>
    <t>B</t>
    <phoneticPr fontId="2" type="noConversion"/>
  </si>
  <si>
    <t>칠리캐나다215</t>
    <phoneticPr fontId="2" type="noConversion"/>
  </si>
  <si>
    <t>치킨소스215</t>
    <phoneticPr fontId="2" type="noConversion"/>
  </si>
  <si>
    <t>마요소스215</t>
    <phoneticPr fontId="2" type="noConversion"/>
  </si>
  <si>
    <t>비비드950</t>
    <phoneticPr fontId="2" type="noConversion"/>
  </si>
  <si>
    <t>원일150</t>
    <phoneticPr fontId="2" type="noConversion"/>
  </si>
  <si>
    <t>원일500</t>
    <phoneticPr fontId="2" type="noConversion"/>
  </si>
  <si>
    <t>YS250</t>
    <phoneticPr fontId="2" type="noConversion"/>
  </si>
  <si>
    <t>YK300</t>
    <phoneticPr fontId="2" type="noConversion"/>
  </si>
  <si>
    <t>CS250</t>
    <phoneticPr fontId="2" type="noConversion"/>
  </si>
  <si>
    <t>3.6무라벨</t>
    <phoneticPr fontId="2" type="noConversion"/>
  </si>
  <si>
    <t>M800(구)</t>
    <phoneticPr fontId="2" type="noConversion"/>
  </si>
  <si>
    <t>M800(신)</t>
    <phoneticPr fontId="2" type="noConversion"/>
  </si>
  <si>
    <t>멸치3</t>
    <phoneticPr fontId="2" type="noConversion"/>
  </si>
  <si>
    <t>멸치골드3</t>
    <phoneticPr fontId="2" type="noConversion"/>
  </si>
  <si>
    <t>까나리3</t>
    <phoneticPr fontId="2" type="noConversion"/>
  </si>
  <si>
    <t>멸치수출3</t>
    <phoneticPr fontId="2" type="noConversion"/>
  </si>
  <si>
    <t>멸치5</t>
    <phoneticPr fontId="2" type="noConversion"/>
  </si>
  <si>
    <t>까나리5</t>
    <phoneticPr fontId="2" type="noConversion"/>
  </si>
  <si>
    <t>비빔밥캐나다</t>
    <phoneticPr fontId="2" type="noConversion"/>
  </si>
  <si>
    <t>유럽쌈장</t>
    <phoneticPr fontId="2" type="noConversion"/>
  </si>
  <si>
    <t>떡볶이캐나다</t>
    <phoneticPr fontId="2" type="noConversion"/>
  </si>
  <si>
    <t>진간장3.6</t>
    <phoneticPr fontId="2" type="noConversion"/>
  </si>
  <si>
    <t>조림간장3.6</t>
    <phoneticPr fontId="2" type="noConversion"/>
  </si>
  <si>
    <t>진간장5</t>
    <phoneticPr fontId="2" type="noConversion"/>
  </si>
  <si>
    <t>콩간장5</t>
    <phoneticPr fontId="2" type="noConversion"/>
  </si>
  <si>
    <t>저당비빔</t>
    <phoneticPr fontId="2" type="noConversion"/>
  </si>
  <si>
    <t>저당초</t>
    <phoneticPr fontId="2" type="noConversion"/>
  </si>
  <si>
    <t>1.7(갈색)</t>
    <phoneticPr fontId="2" type="noConversion"/>
  </si>
  <si>
    <t>1.7(노랑)</t>
    <phoneticPr fontId="2" type="noConversion"/>
  </si>
  <si>
    <t>2킬로(양념)</t>
    <phoneticPr fontId="2" type="noConversion"/>
  </si>
  <si>
    <t>삼진280</t>
    <phoneticPr fontId="2" type="noConversion"/>
  </si>
  <si>
    <t>트리플(일반)</t>
    <phoneticPr fontId="2" type="noConversion"/>
  </si>
  <si>
    <t>트리플(드럼)</t>
    <phoneticPr fontId="2" type="noConversion"/>
  </si>
  <si>
    <t>트리플(겸용)</t>
    <phoneticPr fontId="2" type="noConversion"/>
  </si>
  <si>
    <t>W힐링코튼(아)</t>
    <phoneticPr fontId="2" type="noConversion"/>
  </si>
  <si>
    <t>W힐링코튼(요)</t>
    <phoneticPr fontId="2" type="noConversion"/>
  </si>
  <si>
    <t>W퓨어로즈(아)</t>
    <phoneticPr fontId="2" type="noConversion"/>
  </si>
  <si>
    <t>W퓨어로즈(요)</t>
    <phoneticPr fontId="2" type="noConversion"/>
  </si>
  <si>
    <t>B피오니향(아)</t>
    <phoneticPr fontId="2" type="noConversion"/>
  </si>
  <si>
    <t>W힐링수출(아)</t>
    <phoneticPr fontId="2" type="noConversion"/>
  </si>
  <si>
    <t>W힐링수출(요)</t>
    <phoneticPr fontId="2" type="noConversion"/>
  </si>
  <si>
    <t>B피오니향(요)</t>
    <phoneticPr fontId="2" type="noConversion"/>
  </si>
  <si>
    <t>B무향(아)</t>
    <phoneticPr fontId="2" type="noConversion"/>
  </si>
  <si>
    <t>B무향(요)</t>
    <phoneticPr fontId="2" type="noConversion"/>
  </si>
  <si>
    <t>GDS60</t>
    <phoneticPr fontId="2" type="noConversion"/>
  </si>
  <si>
    <t>BDS60</t>
    <phoneticPr fontId="2" type="noConversion"/>
  </si>
  <si>
    <t>DS30</t>
    <phoneticPr fontId="2" type="noConversion"/>
  </si>
  <si>
    <t>YJ100L</t>
    <phoneticPr fontId="2" type="noConversion"/>
  </si>
  <si>
    <t>YJ130L</t>
    <phoneticPr fontId="2" type="noConversion"/>
  </si>
  <si>
    <t>YJ200L</t>
    <phoneticPr fontId="2" type="noConversion"/>
  </si>
  <si>
    <t>YJ250L</t>
    <phoneticPr fontId="2" type="noConversion"/>
  </si>
  <si>
    <t>YJ500L</t>
    <phoneticPr fontId="2" type="noConversion"/>
  </si>
  <si>
    <t>YJ1000L</t>
    <phoneticPr fontId="2" type="noConversion"/>
  </si>
  <si>
    <t>고YJ100L</t>
    <phoneticPr fontId="2" type="noConversion"/>
  </si>
  <si>
    <t>고YJ130L</t>
    <phoneticPr fontId="2" type="noConversion"/>
  </si>
  <si>
    <t>고YJ200L</t>
    <phoneticPr fontId="2" type="noConversion"/>
  </si>
  <si>
    <t>고YJ250L</t>
    <phoneticPr fontId="2" type="noConversion"/>
  </si>
  <si>
    <t>고YJ500L</t>
    <phoneticPr fontId="2" type="noConversion"/>
  </si>
  <si>
    <t>고YJ1000L</t>
    <phoneticPr fontId="2" type="noConversion"/>
  </si>
  <si>
    <t>YG600M</t>
  </si>
  <si>
    <t>광구300M</t>
  </si>
  <si>
    <t>중광구1000M</t>
  </si>
  <si>
    <t>Y광구500M</t>
  </si>
  <si>
    <t>WYJ1000M</t>
  </si>
  <si>
    <t>&lt;재고조사표 - B2&gt;</t>
    <phoneticPr fontId="2" type="noConversion"/>
  </si>
  <si>
    <t>&lt;재고조사표 - B3&gt;</t>
    <phoneticPr fontId="2" type="noConversion"/>
  </si>
  <si>
    <t>&lt;재고조사표 - 캡창고, W1&gt;</t>
    <phoneticPr fontId="2" type="noConversion"/>
  </si>
  <si>
    <t>캡 창 고</t>
    <phoneticPr fontId="2" type="noConversion"/>
  </si>
  <si>
    <t>W 1</t>
    <phoneticPr fontId="2" type="noConversion"/>
  </si>
  <si>
    <t>액젓</t>
    <phoneticPr fontId="2" type="noConversion"/>
  </si>
  <si>
    <t>비트, 완제품창고</t>
    <phoneticPr fontId="2" type="noConversion"/>
  </si>
  <si>
    <t>&lt;재고조사표 - 액젓, 비트, 완제품창고&gt;</t>
    <phoneticPr fontId="2" type="noConversion"/>
  </si>
  <si>
    <t>중일녹</t>
    <phoneticPr fontId="2" type="noConversion"/>
  </si>
  <si>
    <t>중일핑</t>
    <phoneticPr fontId="2" type="noConversion"/>
  </si>
  <si>
    <t>중일적</t>
    <phoneticPr fontId="2" type="noConversion"/>
  </si>
  <si>
    <t>중일백</t>
    <phoneticPr fontId="2" type="noConversion"/>
  </si>
  <si>
    <t>중일청</t>
    <phoneticPr fontId="2" type="noConversion"/>
  </si>
  <si>
    <t>중일노</t>
    <phoneticPr fontId="2" type="noConversion"/>
  </si>
  <si>
    <t>가스캡</t>
    <phoneticPr fontId="2" type="noConversion"/>
  </si>
  <si>
    <t>중안녹</t>
    <phoneticPr fontId="2" type="noConversion"/>
  </si>
  <si>
    <t>중안핑</t>
    <phoneticPr fontId="2" type="noConversion"/>
  </si>
  <si>
    <t>중안적</t>
    <phoneticPr fontId="2" type="noConversion"/>
  </si>
  <si>
    <t>중안백</t>
    <phoneticPr fontId="2" type="noConversion"/>
  </si>
  <si>
    <t>중안청</t>
    <phoneticPr fontId="2" type="noConversion"/>
  </si>
  <si>
    <t>중안노</t>
    <phoneticPr fontId="2" type="noConversion"/>
  </si>
  <si>
    <t>2.1노랑</t>
    <phoneticPr fontId="2" type="noConversion"/>
  </si>
  <si>
    <t>3.1노랑</t>
    <phoneticPr fontId="2" type="noConversion"/>
  </si>
  <si>
    <t>30ML노랑</t>
    <phoneticPr fontId="2" type="noConversion"/>
  </si>
  <si>
    <t>30ML적색</t>
    <phoneticPr fontId="2" type="noConversion"/>
  </si>
  <si>
    <t>30ML백색</t>
    <phoneticPr fontId="2" type="noConversion"/>
  </si>
  <si>
    <t>40ML녹색</t>
    <phoneticPr fontId="2" type="noConversion"/>
  </si>
  <si>
    <t>40ML핑크</t>
    <phoneticPr fontId="2" type="noConversion"/>
  </si>
  <si>
    <t>50ML노랑</t>
    <phoneticPr fontId="2" type="noConversion"/>
  </si>
  <si>
    <t>50ML적색</t>
    <phoneticPr fontId="2" type="noConversion"/>
  </si>
  <si>
    <t>50ML백색</t>
    <phoneticPr fontId="2" type="noConversion"/>
  </si>
  <si>
    <t>협일녹</t>
    <phoneticPr fontId="2" type="noConversion"/>
  </si>
  <si>
    <t>협일핑</t>
    <phoneticPr fontId="2" type="noConversion"/>
  </si>
  <si>
    <t>협일적</t>
    <phoneticPr fontId="2" type="noConversion"/>
  </si>
  <si>
    <t>협일백</t>
    <phoneticPr fontId="2" type="noConversion"/>
  </si>
  <si>
    <t>협일노</t>
    <phoneticPr fontId="2" type="noConversion"/>
  </si>
  <si>
    <t>협안녹</t>
    <phoneticPr fontId="2" type="noConversion"/>
  </si>
  <si>
    <t>협안핑</t>
    <phoneticPr fontId="2" type="noConversion"/>
  </si>
  <si>
    <t>협안적</t>
    <phoneticPr fontId="2" type="noConversion"/>
  </si>
  <si>
    <t>협안백</t>
    <phoneticPr fontId="2" type="noConversion"/>
  </si>
  <si>
    <t>협안청</t>
    <phoneticPr fontId="2" type="noConversion"/>
  </si>
  <si>
    <t>협일청</t>
    <phoneticPr fontId="2" type="noConversion"/>
  </si>
  <si>
    <t>협안노</t>
    <phoneticPr fontId="2" type="noConversion"/>
  </si>
  <si>
    <t>B피오니향(아)</t>
    <phoneticPr fontId="2" type="noConversion"/>
  </si>
  <si>
    <t>W힐링수출(요)</t>
    <phoneticPr fontId="2" type="noConversion"/>
  </si>
  <si>
    <t>W퓨어로즈(아)</t>
    <phoneticPr fontId="2" type="noConversion"/>
  </si>
  <si>
    <t>W퓨어로즈(요)</t>
    <phoneticPr fontId="2" type="noConversion"/>
  </si>
  <si>
    <t>W힐링코튼(아)</t>
    <phoneticPr fontId="2" type="noConversion"/>
  </si>
  <si>
    <t>B무향</t>
    <phoneticPr fontId="2" type="noConversion"/>
  </si>
  <si>
    <t>JD300</t>
    <phoneticPr fontId="2" type="noConversion"/>
  </si>
  <si>
    <t>아460M</t>
    <phoneticPr fontId="2" type="noConversion"/>
  </si>
  <si>
    <t>P아460S</t>
    <phoneticPr fontId="2" type="noConversion"/>
  </si>
  <si>
    <t>아200S</t>
    <phoneticPr fontId="2" type="noConversion"/>
  </si>
  <si>
    <t>W힐링코튼(요)</t>
    <phoneticPr fontId="2" type="noConversion"/>
  </si>
  <si>
    <t>HW160</t>
    <phoneticPr fontId="2" type="noConversion"/>
  </si>
  <si>
    <t>WYJ500S</t>
    <phoneticPr fontId="2" type="noConversion"/>
  </si>
  <si>
    <t>쉐이킹70</t>
    <phoneticPr fontId="2" type="noConversion"/>
  </si>
  <si>
    <t>GDS60</t>
    <phoneticPr fontId="2" type="noConversion"/>
  </si>
  <si>
    <t>DS60</t>
    <phoneticPr fontId="2" type="noConversion"/>
  </si>
  <si>
    <t>푸딩70</t>
    <phoneticPr fontId="2" type="noConversion"/>
  </si>
  <si>
    <t>DS30</t>
    <phoneticPr fontId="2" type="noConversion"/>
  </si>
  <si>
    <t>잔량(ea)</t>
    <phoneticPr fontId="2" type="noConversion"/>
  </si>
  <si>
    <t>P아460S</t>
    <phoneticPr fontId="2" type="noConversion"/>
  </si>
  <si>
    <t>멸치골드3</t>
    <phoneticPr fontId="2" type="noConversion"/>
  </si>
  <si>
    <t>아300S</t>
    <phoneticPr fontId="2" type="noConversion"/>
  </si>
  <si>
    <t>M800(신)</t>
    <phoneticPr fontId="2" type="noConversion"/>
  </si>
  <si>
    <t>새콤초300</t>
    <phoneticPr fontId="2" type="noConversion"/>
  </si>
  <si>
    <t>SM300</t>
    <phoneticPr fontId="2" type="noConversion"/>
  </si>
  <si>
    <t>K500</t>
    <phoneticPr fontId="2" type="noConversion"/>
  </si>
  <si>
    <t>원일500</t>
    <phoneticPr fontId="2" type="noConversion"/>
  </si>
  <si>
    <t>맥코믹1000</t>
    <phoneticPr fontId="2" type="noConversion"/>
  </si>
  <si>
    <t>팔도300</t>
    <phoneticPr fontId="2" type="noConversion"/>
  </si>
  <si>
    <t>초500</t>
    <phoneticPr fontId="2" type="noConversion"/>
  </si>
  <si>
    <t>S250</t>
    <phoneticPr fontId="2" type="noConversion"/>
  </si>
  <si>
    <t>N215</t>
    <phoneticPr fontId="2" type="noConversion"/>
  </si>
  <si>
    <t>맥코믹300</t>
    <phoneticPr fontId="2" type="noConversion"/>
  </si>
  <si>
    <t>사과듬뿍290</t>
    <phoneticPr fontId="2" type="noConversion"/>
  </si>
  <si>
    <t>PP300</t>
    <phoneticPr fontId="2" type="noConversion"/>
  </si>
  <si>
    <t>팔도300</t>
    <phoneticPr fontId="2" type="noConversion"/>
  </si>
  <si>
    <t>새콤초500</t>
    <phoneticPr fontId="2" type="noConversion"/>
  </si>
  <si>
    <t>YK460</t>
    <phoneticPr fontId="2" type="noConversion"/>
  </si>
  <si>
    <t>S400</t>
    <phoneticPr fontId="2" type="noConversion"/>
  </si>
  <si>
    <t>D300</t>
    <phoneticPr fontId="2" type="noConversion"/>
  </si>
  <si>
    <t>남양더건강한</t>
    <phoneticPr fontId="2" type="noConversion"/>
  </si>
  <si>
    <t>남양더건강한</t>
    <phoneticPr fontId="2" type="noConversion"/>
  </si>
  <si>
    <t>매일연유</t>
    <phoneticPr fontId="2" type="noConversion"/>
  </si>
  <si>
    <t>K500</t>
    <phoneticPr fontId="2" type="noConversion"/>
  </si>
  <si>
    <t>새콤초300</t>
    <phoneticPr fontId="2" type="noConversion"/>
  </si>
  <si>
    <t>D300</t>
    <phoneticPr fontId="2" type="noConversion"/>
  </si>
  <si>
    <t>초300</t>
    <phoneticPr fontId="2" type="noConversion"/>
  </si>
  <si>
    <t>YJ1000S</t>
    <phoneticPr fontId="2" type="noConversion"/>
  </si>
  <si>
    <t>중광구1000S</t>
    <phoneticPr fontId="2" type="noConversion"/>
  </si>
  <si>
    <t>YJ130S</t>
    <phoneticPr fontId="2" type="noConversion"/>
  </si>
  <si>
    <t>YJ500M</t>
    <phoneticPr fontId="2" type="noConversion"/>
  </si>
  <si>
    <t>YJ250S</t>
    <phoneticPr fontId="2" type="noConversion"/>
  </si>
  <si>
    <t>YG500S</t>
    <phoneticPr fontId="2" type="noConversion"/>
  </si>
  <si>
    <t>YJ500S</t>
    <phoneticPr fontId="2" type="noConversion"/>
  </si>
  <si>
    <t>YJ1000M</t>
    <phoneticPr fontId="2" type="noConversion"/>
  </si>
  <si>
    <t>YJ250M</t>
    <phoneticPr fontId="2" type="noConversion"/>
  </si>
  <si>
    <t>중국폭탄맛</t>
    <phoneticPr fontId="2" type="noConversion"/>
  </si>
  <si>
    <t>YJ200S</t>
    <phoneticPr fontId="2" type="noConversion"/>
  </si>
  <si>
    <t>미국폭탄맛</t>
    <phoneticPr fontId="2" type="noConversion"/>
  </si>
  <si>
    <t>고YJ500M</t>
    <phoneticPr fontId="2" type="noConversion"/>
  </si>
  <si>
    <t>YJ500L</t>
    <phoneticPr fontId="2" type="noConversion"/>
  </si>
  <si>
    <t>UK600</t>
    <phoneticPr fontId="2" type="noConversion"/>
  </si>
  <si>
    <t>UK400</t>
    <phoneticPr fontId="2" type="noConversion"/>
  </si>
  <si>
    <t>만능볶음</t>
    <phoneticPr fontId="2" type="noConversion"/>
  </si>
  <si>
    <t>오푸드할랄</t>
    <phoneticPr fontId="2" type="noConversion"/>
  </si>
  <si>
    <t>WYJ1000S</t>
    <phoneticPr fontId="2" type="noConversion"/>
  </si>
  <si>
    <t>YJ250S</t>
    <phoneticPr fontId="2" type="noConversion"/>
  </si>
  <si>
    <t>WYJ100S</t>
    <phoneticPr fontId="2" type="noConversion"/>
  </si>
  <si>
    <t>WYJ250S</t>
    <phoneticPr fontId="2" type="noConversion"/>
  </si>
  <si>
    <t>오푸드쌈장</t>
    <phoneticPr fontId="2" type="noConversion"/>
  </si>
  <si>
    <t>돌솥비빔밥</t>
    <phoneticPr fontId="2" type="noConversion"/>
  </si>
  <si>
    <t>떡볶이캐나다</t>
    <phoneticPr fontId="2" type="noConversion"/>
  </si>
  <si>
    <t>중국쌈장</t>
    <phoneticPr fontId="2" type="noConversion"/>
  </si>
  <si>
    <t>YS250</t>
    <phoneticPr fontId="2" type="noConversion"/>
  </si>
  <si>
    <t>소고기비빔</t>
    <phoneticPr fontId="2" type="noConversion"/>
  </si>
  <si>
    <t>미국새콤초300</t>
    <phoneticPr fontId="2" type="noConversion"/>
  </si>
  <si>
    <t>미국새콤초300</t>
    <phoneticPr fontId="2" type="noConversion"/>
  </si>
  <si>
    <t>유럽쌈장</t>
    <phoneticPr fontId="2" type="noConversion"/>
  </si>
  <si>
    <t>중국떡볶이</t>
    <phoneticPr fontId="2" type="noConversion"/>
  </si>
  <si>
    <t>중국고추장</t>
    <phoneticPr fontId="2" type="noConversion"/>
  </si>
  <si>
    <t>K930</t>
    <phoneticPr fontId="2" type="noConversion"/>
  </si>
  <si>
    <t>SN215</t>
    <phoneticPr fontId="2" type="noConversion"/>
  </si>
  <si>
    <t>유럽고추장</t>
    <phoneticPr fontId="2" type="noConversion"/>
  </si>
  <si>
    <t>미소215</t>
    <phoneticPr fontId="2" type="noConversion"/>
  </si>
  <si>
    <t>중광구1000S</t>
  </si>
  <si>
    <t>WYJ1000S</t>
  </si>
  <si>
    <t>고중광구1000M</t>
  </si>
  <si>
    <t>WY광구500M</t>
  </si>
  <si>
    <t>아토팜200S</t>
    <phoneticPr fontId="2" type="noConversion"/>
  </si>
  <si>
    <t>M300</t>
    <phoneticPr fontId="2" type="noConversion"/>
  </si>
  <si>
    <t>아200M</t>
    <phoneticPr fontId="2" type="noConversion"/>
  </si>
  <si>
    <t>박스단위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</si>
</sst>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23" x14ac:knownFonts="1">
    <font>
      <sz val="11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  <scheme val="minor"/>
    </font>
    <font>
      <sz val="48"/>
      <color theme="1"/>
      <name val="맑은 고딕"/>
      <family val="2"/>
      <charset val="129"/>
      <scheme val="minor"/>
    </font>
    <font>
      <sz val="9"/>
      <color theme="9" tint="0.3999755851924192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40"/>
      <color theme="1"/>
      <name val="맑은 고딕"/>
      <family val="2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50"/>
      <color theme="1"/>
      <name val="맑은 고딕"/>
      <family val="2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sz val="50"/>
      <color theme="1"/>
      <name val="맑은 고딕"/>
      <family val="2"/>
      <charset val="129"/>
      <scheme val="minor"/>
    </font>
    <font>
      <b/>
      <sz val="60"/>
      <color theme="1"/>
      <name val="맑은 고딕"/>
      <family val="3"/>
      <charset val="129"/>
      <scheme val="minor"/>
    </font>
    <font>
      <sz val="60"/>
      <color theme="1"/>
      <name val="맑은 고딕"/>
      <family val="3"/>
      <charset val="129"/>
      <scheme val="minor"/>
    </font>
    <font>
      <b/>
      <sz val="50"/>
      <color theme="1" tint="4.9989318521683403E-2"/>
      <name val="맑은 고딕"/>
      <family val="3"/>
      <charset val="129"/>
      <scheme val="minor"/>
    </font>
    <font>
      <sz val="50"/>
      <color theme="1"/>
      <name val="맑은 고딕"/>
      <family val="3"/>
      <charset val="129"/>
      <scheme val="minor"/>
    </font>
    <font>
      <sz val="50"/>
      <color theme="0" tint="-0.499984740745262"/>
      <name val="맑은 고딕"/>
      <family val="3"/>
      <charset val="129"/>
      <scheme val="minor"/>
    </font>
    <font>
      <sz val="72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hair">
        <color theme="0" tint="-0.34998626667073579"/>
      </right>
      <top style="thick">
        <color indexed="64"/>
      </top>
      <bottom/>
      <diagonal/>
    </border>
    <border>
      <left style="dashed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8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right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4" fillId="0" borderId="14" xfId="0" applyFont="1" applyBorder="1" applyAlignment="1">
      <alignment horizontal="left" vertical="center"/>
    </xf>
    <xf numFmtId="0" fontId="16" fillId="0" borderId="18" xfId="0" applyFont="1" applyBorder="1" applyAlignment="1">
      <alignment horizontal="right" vertical="center"/>
    </xf>
    <xf numFmtId="0" fontId="16" fillId="0" borderId="14" xfId="0" applyFont="1" applyBorder="1" applyAlignment="1">
      <alignment horizontal="right" vertical="center"/>
    </xf>
    <xf numFmtId="0" fontId="16" fillId="0" borderId="11" xfId="0" applyFont="1" applyBorder="1" applyAlignment="1">
      <alignment horizontal="right" vertical="center"/>
    </xf>
    <xf numFmtId="0" fontId="16" fillId="0" borderId="13" xfId="0" applyFont="1" applyBorder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right" vertical="center"/>
    </xf>
    <xf numFmtId="0" fontId="16" fillId="0" borderId="4" xfId="0" applyFont="1" applyBorder="1" applyAlignment="1">
      <alignment horizontal="right" vertical="center"/>
    </xf>
    <xf numFmtId="14" fontId="9" fillId="0" borderId="0" xfId="0" applyNumberFormat="1" applyFont="1" applyBorder="1" applyAlignment="1">
      <alignment vertical="center"/>
    </xf>
    <xf numFmtId="0" fontId="20" fillId="0" borderId="4" xfId="0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4" xfId="0" applyFont="1" applyFill="1" applyBorder="1" applyAlignment="1">
      <alignment horizontal="center" vertical="top"/>
    </xf>
    <xf numFmtId="0" fontId="20" fillId="0" borderId="16" xfId="0" applyFont="1" applyFill="1" applyBorder="1" applyAlignment="1">
      <alignment horizontal="center" vertical="top"/>
    </xf>
    <xf numFmtId="0" fontId="19" fillId="3" borderId="15" xfId="0" applyFont="1" applyFill="1" applyBorder="1" applyAlignment="1">
      <alignment vertical="center"/>
    </xf>
    <xf numFmtId="0" fontId="21" fillId="3" borderId="6" xfId="0" applyFont="1" applyFill="1" applyBorder="1" applyAlignment="1">
      <alignment vertical="top"/>
    </xf>
    <xf numFmtId="0" fontId="19" fillId="2" borderId="15" xfId="0" applyFont="1" applyFill="1" applyBorder="1" applyAlignment="1">
      <alignment horizontal="left" vertical="center"/>
    </xf>
    <xf numFmtId="0" fontId="21" fillId="2" borderId="6" xfId="0" applyFont="1" applyFill="1" applyBorder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19" fillId="3" borderId="3" xfId="0" applyFont="1" applyFill="1" applyBorder="1" applyAlignment="1">
      <alignment vertical="center"/>
    </xf>
    <xf numFmtId="176" fontId="0" fillId="0" borderId="12" xfId="0" applyNumberForma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14" fontId="9" fillId="0" borderId="0" xfId="0" applyNumberFormat="1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14" fontId="9" fillId="0" borderId="18" xfId="0" applyNumberFormat="1" applyFont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271462</xdr:colOff>
      <xdr:row>39</xdr:row>
      <xdr:rowOff>409575</xdr:rowOff>
    </xdr:from>
    <xdr:to>
      <xdr:col>16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2063650" y="54202013"/>
          <a:ext cx="5067300" cy="68961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B1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271462</xdr:colOff>
      <xdr:row>39</xdr:row>
      <xdr:rowOff>409575</xdr:rowOff>
    </xdr:from>
    <xdr:to>
      <xdr:col>20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51887437" y="53854350"/>
          <a:ext cx="5057775" cy="68580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B2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271462</xdr:colOff>
      <xdr:row>39</xdr:row>
      <xdr:rowOff>409575</xdr:rowOff>
    </xdr:from>
    <xdr:to>
      <xdr:col>16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46401037" y="53854350"/>
          <a:ext cx="4629150" cy="68580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B3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  <pageSetUpPr fitToPage="1"/>
  </sheetPr>
  <dimension ref="A3:AH46"/>
  <sheetViews>
    <sheetView tabSelected="1" view="pageBreakPreview" zoomScale="10" zoomScaleNormal="55" zoomScaleSheetLayoutView="10" workbookViewId="0">
      <selection activeCell="CK24" sqref="CK24"/>
    </sheetView>
  </sheetViews>
  <sheetFormatPr defaultRowHeight="16.5" x14ac:dyDescent="0.3"/>
  <cols>
    <col min="1" max="1" width="27.125" customWidth="1"/>
    <col min="2" max="25" width="36.125" customWidth="1"/>
  </cols>
  <sheetData>
    <row r="3" spans="1:34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4" ht="115.5" customHeight="1" thickTop="1" thickBot="1" x14ac:dyDescent="0.35">
      <c r="B4" s="1"/>
      <c r="C4" s="35" t="s">
        <v>155</v>
      </c>
      <c r="D4" s="36"/>
      <c r="E4" s="36"/>
      <c r="F4" s="6"/>
      <c r="G4" s="5"/>
      <c r="H4" s="60">
        <f ca="1">(TODAY())</f>
        <v>46206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4"/>
    </row>
    <row r="5" spans="1:34" ht="115.5" customHeight="1" thickTop="1" thickBot="1" x14ac:dyDescent="0.35">
      <c r="B5" s="25">
        <v>1</v>
      </c>
      <c r="C5" s="30"/>
      <c r="D5" s="31">
        <v>2</v>
      </c>
      <c r="E5" s="32"/>
      <c r="F5" s="31">
        <v>3</v>
      </c>
      <c r="G5" s="32"/>
      <c r="H5" s="31">
        <v>4</v>
      </c>
      <c r="I5" s="30"/>
      <c r="J5" s="31">
        <v>5</v>
      </c>
      <c r="K5" s="32"/>
      <c r="L5" s="31">
        <v>6</v>
      </c>
      <c r="M5" s="32"/>
      <c r="N5" s="31">
        <v>7</v>
      </c>
      <c r="O5" s="30"/>
      <c r="P5" s="34"/>
      <c r="Q5" s="32"/>
      <c r="R5" s="31">
        <v>4</v>
      </c>
      <c r="S5" s="32"/>
      <c r="T5" s="31">
        <v>3</v>
      </c>
      <c r="U5" s="30"/>
      <c r="V5" s="31">
        <v>2</v>
      </c>
      <c r="W5" s="32"/>
      <c r="X5" s="31">
        <v>1</v>
      </c>
      <c r="Y5" s="32"/>
    </row>
    <row r="6" spans="1:34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9"/>
      <c r="Q6" s="59"/>
      <c r="R6" s="56" t="s">
        <v>152</v>
      </c>
      <c r="S6" s="57"/>
      <c r="T6" s="56" t="s">
        <v>152</v>
      </c>
      <c r="U6" s="57"/>
      <c r="V6" s="56" t="s">
        <v>149</v>
      </c>
      <c r="W6" s="57"/>
      <c r="X6" s="56" t="s">
        <v>149</v>
      </c>
      <c r="Y6" s="57"/>
    </row>
    <row r="7" spans="1:34" ht="115.5" customHeight="1" thickBot="1" x14ac:dyDescent="0.35">
      <c r="B7" s="41" t="s">
        <v>153</v>
      </c>
      <c r="C7" s="42" t="s">
        <v>154</v>
      </c>
      <c r="D7" s="41" t="s">
        <v>153</v>
      </c>
      <c r="E7" s="42" t="s">
        <v>154</v>
      </c>
      <c r="F7" s="41" t="s">
        <v>153</v>
      </c>
      <c r="G7" s="42" t="s">
        <v>154</v>
      </c>
      <c r="H7" s="41" t="s">
        <v>153</v>
      </c>
      <c r="I7" s="42" t="s">
        <v>154</v>
      </c>
      <c r="J7" s="41" t="s">
        <v>153</v>
      </c>
      <c r="K7" s="42" t="s">
        <v>154</v>
      </c>
      <c r="L7" s="41" t="s">
        <v>153</v>
      </c>
      <c r="M7" s="42" t="s">
        <v>154</v>
      </c>
      <c r="N7" s="41" t="s">
        <v>153</v>
      </c>
      <c r="O7" s="42" t="s">
        <v>154</v>
      </c>
      <c r="P7" s="28"/>
      <c r="Q7" s="29"/>
      <c r="R7" s="26" t="s">
        <v>153</v>
      </c>
      <c r="S7" s="27" t="s">
        <v>154</v>
      </c>
      <c r="T7" s="26" t="s">
        <v>153</v>
      </c>
      <c r="U7" s="27" t="s">
        <v>154</v>
      </c>
      <c r="V7" s="26" t="s">
        <v>153</v>
      </c>
      <c r="W7" s="27" t="s">
        <v>154</v>
      </c>
      <c r="X7" s="26" t="s">
        <v>153</v>
      </c>
      <c r="Y7" s="27" t="s">
        <v>154</v>
      </c>
    </row>
    <row r="8" spans="1:34" ht="115.5" customHeight="1" thickTop="1" x14ac:dyDescent="1.1499999999999999">
      <c r="A8" s="61">
        <v>1</v>
      </c>
      <c r="B8" s="53" t="s" ph="1">
        <v>0</v>
      </c>
      <c r="C8" s="54"/>
      <c r="D8" s="49" ph="1"/>
      <c r="E8" s="50"/>
      <c r="F8" s="49" ph="1"/>
      <c r="G8" s="50"/>
      <c r="H8" s="49" ph="1"/>
      <c r="I8" s="50"/>
      <c r="J8" s="49" ph="1"/>
      <c r="K8" s="50"/>
      <c r="L8" s="49" ph="1"/>
      <c r="M8" s="50"/>
      <c r="N8" s="49" ph="1"/>
      <c r="O8" s="50"/>
      <c r="P8" s="20"/>
      <c r="Q8" s="8"/>
      <c r="R8" s="51" ph="1"/>
      <c r="S8" s="52"/>
      <c r="T8" s="51" ph="1"/>
      <c r="U8" s="52"/>
      <c r="V8" s="51" ph="1"/>
      <c r="W8" s="52"/>
      <c r="X8" s="51" t="s" ph="1">
        <v>278</v>
      </c>
      <c r="Y8" s="52"/>
      <c r="Z8" ph="1"/>
      <c r="AB8" ph="1"/>
      <c r="AD8" ph="1"/>
      <c r="AF8" ph="1"/>
      <c r="AH8" ph="1"/>
    </row>
    <row r="9" spans="1:34" ht="115.5" customHeight="1" thickBot="1" x14ac:dyDescent="0.35">
      <c r="A9" s="61"/>
      <c r="B9" s="47">
        <v>10</v>
      </c>
      <c r="C9" s="48">
        <v>18</v>
      </c>
      <c r="D9" s="47"/>
      <c r="E9" s="48"/>
      <c r="F9" s="47"/>
      <c r="G9" s="48"/>
      <c r="H9" s="47"/>
      <c r="I9" s="48"/>
      <c r="J9" s="47"/>
      <c r="K9" s="48"/>
      <c r="L9" s="47"/>
      <c r="M9" s="48"/>
      <c r="N9" s="47"/>
      <c r="O9" s="48"/>
      <c r="P9" s="19"/>
      <c r="Q9" s="21"/>
      <c r="R9" s="39"/>
      <c r="S9" s="40"/>
      <c r="T9" s="39"/>
      <c r="U9" s="40"/>
      <c r="V9" s="39"/>
      <c r="W9" s="40"/>
      <c r="X9" s="39"/>
      <c r="Y9" s="40">
        <v>16</v>
      </c>
    </row>
    <row r="10" spans="1:34" ht="115.5" customHeight="1" thickTop="1" x14ac:dyDescent="1.1499999999999999">
      <c r="A10" s="61">
        <v>2</v>
      </c>
      <c r="B10" s="49" ph="1"/>
      <c r="C10" s="50"/>
      <c r="D10" s="49" ph="1"/>
      <c r="E10" s="50"/>
      <c r="F10" s="49" ph="1"/>
      <c r="G10" s="50"/>
      <c r="H10" s="49" ph="1"/>
      <c r="I10" s="50"/>
      <c r="J10" s="49" ph="1"/>
      <c r="K10" s="50"/>
      <c r="L10" s="49" ph="1"/>
      <c r="M10" s="50"/>
      <c r="N10" s="49" ph="1"/>
      <c r="O10" s="50"/>
      <c r="P10" s="20"/>
      <c r="Q10" s="8"/>
      <c r="R10" s="51" ph="1"/>
      <c r="S10" s="52"/>
      <c r="T10" s="51" ph="1"/>
      <c r="U10" s="52"/>
      <c r="V10" s="51" t="s" ph="1">
        <v>280</v>
      </c>
      <c r="W10" s="52"/>
      <c r="X10" s="51" t="s" ph="1">
        <v>279</v>
      </c>
      <c r="Y10" s="52"/>
      <c r="Z10" ph="1"/>
      <c r="AB10" ph="1"/>
      <c r="AD10" ph="1"/>
      <c r="AF10" ph="1"/>
      <c r="AH10" ph="1"/>
    </row>
    <row r="11" spans="1:34" ht="115.5" customHeight="1" thickBot="1" x14ac:dyDescent="0.35">
      <c r="A11" s="61"/>
      <c r="B11" s="47"/>
      <c r="C11" s="48"/>
      <c r="D11" s="47"/>
      <c r="E11" s="48"/>
      <c r="F11" s="47"/>
      <c r="G11" s="48"/>
      <c r="H11" s="47"/>
      <c r="I11" s="48"/>
      <c r="J11" s="47"/>
      <c r="K11" s="48"/>
      <c r="L11" s="47"/>
      <c r="M11" s="48"/>
      <c r="N11" s="47"/>
      <c r="O11" s="48"/>
      <c r="P11" s="17"/>
      <c r="Q11" s="18"/>
      <c r="R11" s="39"/>
      <c r="S11" s="40"/>
      <c r="T11" s="39"/>
      <c r="U11" s="40"/>
      <c r="V11" s="39"/>
      <c r="W11" s="40">
        <v>6</v>
      </c>
      <c r="X11" s="39">
        <v>5</v>
      </c>
      <c r="Y11" s="40">
        <v>9</v>
      </c>
    </row>
    <row r="12" spans="1:34" ht="115.5" customHeight="1" thickTop="1" x14ac:dyDescent="1.1499999999999999">
      <c r="A12" s="61">
        <v>3</v>
      </c>
      <c r="B12" s="49" ph="1"/>
      <c r="C12" s="50"/>
      <c r="D12" s="49" ph="1"/>
      <c r="E12" s="50"/>
      <c r="F12" s="49" ph="1"/>
      <c r="G12" s="50"/>
      <c r="H12" s="49" ph="1"/>
      <c r="I12" s="50"/>
      <c r="J12" s="49" ph="1"/>
      <c r="K12" s="50"/>
      <c r="L12" s="49" ph="1"/>
      <c r="M12" s="50"/>
      <c r="N12" s="49" ph="1"/>
      <c r="O12" s="50"/>
      <c r="P12" s="7"/>
      <c r="Q12" s="8"/>
      <c r="R12" s="51" ph="1"/>
      <c r="S12" s="52"/>
      <c r="T12" s="51" ph="1"/>
      <c r="U12" s="52"/>
      <c r="V12" s="51" ph="1"/>
      <c r="W12" s="52"/>
      <c r="X12" s="51" t="s" ph="1">
        <v>281</v>
      </c>
      <c r="Y12" s="52"/>
      <c r="Z12" ph="1"/>
      <c r="AB12" ph="1"/>
      <c r="AD12" ph="1"/>
      <c r="AF12" ph="1"/>
      <c r="AH12" ph="1"/>
    </row>
    <row r="13" spans="1:34" ht="115.5" customHeight="1" thickBot="1" x14ac:dyDescent="0.35">
      <c r="A13" s="61"/>
      <c r="B13" s="47"/>
      <c r="C13" s="48"/>
      <c r="D13" s="47"/>
      <c r="E13" s="48"/>
      <c r="F13" s="47"/>
      <c r="G13" s="48"/>
      <c r="H13" s="47"/>
      <c r="I13" s="48"/>
      <c r="J13" s="47"/>
      <c r="K13" s="48"/>
      <c r="L13" s="47"/>
      <c r="M13" s="48"/>
      <c r="N13" s="47"/>
      <c r="O13" s="48"/>
      <c r="P13" s="17"/>
      <c r="Q13" s="18"/>
      <c r="R13" s="39"/>
      <c r="S13" s="40"/>
      <c r="T13" s="39"/>
      <c r="U13" s="40"/>
      <c r="V13" s="39"/>
      <c r="W13" s="40"/>
      <c r="X13" s="39">
        <v>10</v>
      </c>
      <c r="Y13" s="40">
        <v>2</v>
      </c>
    </row>
    <row r="14" spans="1:34" ht="115.5" customHeight="1" thickTop="1" x14ac:dyDescent="1.1499999999999999">
      <c r="A14" s="61">
        <v>4</v>
      </c>
      <c r="B14" s="49" ph="1"/>
      <c r="C14" s="50"/>
      <c r="D14" s="49" ph="1"/>
      <c r="E14" s="50"/>
      <c r="F14" s="49" ph="1"/>
      <c r="G14" s="50"/>
      <c r="H14" s="49" ph="1"/>
      <c r="I14" s="50"/>
      <c r="J14" s="49" ph="1"/>
      <c r="K14" s="50"/>
      <c r="L14" s="49" ph="1"/>
      <c r="M14" s="50"/>
      <c r="N14" s="49" ph="1"/>
      <c r="O14" s="50"/>
      <c r="P14" s="7"/>
      <c r="Q14" s="8"/>
      <c r="R14" s="51" ph="1"/>
      <c r="S14" s="52"/>
      <c r="T14" s="51" ph="1"/>
      <c r="U14" s="52"/>
      <c r="V14" s="51" ph="1"/>
      <c r="W14" s="52"/>
      <c r="X14" s="51" t="s" ph="1">
        <v>282</v>
      </c>
      <c r="Y14" s="52"/>
      <c r="Z14" ph="1"/>
      <c r="AB14" ph="1"/>
      <c r="AD14" ph="1"/>
      <c r="AF14" ph="1"/>
      <c r="AH14" ph="1"/>
    </row>
    <row r="15" spans="1:34" ht="115.5" customHeight="1" thickBot="1" x14ac:dyDescent="0.35">
      <c r="A15" s="61"/>
      <c r="B15" s="47"/>
      <c r="C15" s="48"/>
      <c r="D15" s="47"/>
      <c r="E15" s="48"/>
      <c r="F15" s="47"/>
      <c r="G15" s="48"/>
      <c r="H15" s="47"/>
      <c r="I15" s="48"/>
      <c r="J15" s="47"/>
      <c r="K15" s="48"/>
      <c r="L15" s="47"/>
      <c r="M15" s="48"/>
      <c r="N15" s="47"/>
      <c r="O15" s="48"/>
      <c r="P15" s="17"/>
      <c r="Q15" s="18"/>
      <c r="R15" s="39"/>
      <c r="S15" s="40"/>
      <c r="T15" s="39"/>
      <c r="U15" s="40"/>
      <c r="V15" s="39"/>
      <c r="W15" s="40"/>
      <c r="X15" s="39">
        <v>2</v>
      </c>
      <c r="Y15" s="40">
        <v>11</v>
      </c>
    </row>
    <row r="16" spans="1:34" ht="115.5" customHeight="1" thickTop="1" x14ac:dyDescent="1.1499999999999999">
      <c r="A16" s="61">
        <v>5</v>
      </c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7"/>
      <c r="Q16" s="8"/>
      <c r="R16" s="51" ph="1"/>
      <c r="S16" s="52"/>
      <c r="T16" s="51" ph="1"/>
      <c r="U16" s="52"/>
      <c r="V16" s="51" ph="1"/>
      <c r="W16" s="52"/>
      <c r="X16" s="51" t="s" ph="1">
        <v>283</v>
      </c>
      <c r="Y16" s="52"/>
      <c r="Z16" ph="1"/>
      <c r="AB16" ph="1"/>
      <c r="AD16" ph="1"/>
      <c r="AF16" ph="1"/>
      <c r="AH16" ph="1"/>
    </row>
    <row r="17" spans="1:34" ht="115.5" customHeight="1" thickBot="1" x14ac:dyDescent="0.35">
      <c r="A17" s="61"/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7"/>
      <c r="Q17" s="8"/>
      <c r="R17" s="39"/>
      <c r="S17" s="40"/>
      <c r="T17" s="39"/>
      <c r="U17" s="40"/>
      <c r="V17" s="39"/>
      <c r="W17" s="40"/>
      <c r="X17" s="39">
        <v>1</v>
      </c>
      <c r="Y17" s="40">
        <v>15</v>
      </c>
    </row>
    <row r="18" spans="1:34" ht="115.5" customHeight="1" thickTop="1" x14ac:dyDescent="1.1499999999999999">
      <c r="A18" s="61">
        <v>6</v>
      </c>
      <c r="B18" s="51" t="s" ph="1">
        <v>0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7"/>
      <c r="Q18" s="8"/>
      <c r="R18" s="51" ph="1"/>
      <c r="S18" s="52"/>
      <c r="T18" s="51" ph="1"/>
      <c r="U18" s="52"/>
      <c r="V18" s="51" t="s" ph="1">
        <v>286</v>
      </c>
      <c r="W18" s="52"/>
      <c r="X18" s="51" t="s" ph="1">
        <v>285</v>
      </c>
      <c r="Y18" s="52"/>
      <c r="Z18" ph="1"/>
      <c r="AB18" ph="1"/>
      <c r="AD18" ph="1"/>
      <c r="AF18" ph="1"/>
      <c r="AH18" ph="1"/>
    </row>
    <row r="19" spans="1:34" ht="115.5" customHeight="1" thickBot="1" x14ac:dyDescent="0.35">
      <c r="A19" s="61"/>
      <c r="B19" s="39">
        <v>10</v>
      </c>
      <c r="C19" s="40">
        <v>18</v>
      </c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7"/>
      <c r="Q19" s="8"/>
      <c r="R19" s="39"/>
      <c r="S19" s="40"/>
      <c r="T19" s="39"/>
      <c r="U19" s="40"/>
      <c r="V19" s="39">
        <v>4</v>
      </c>
      <c r="W19" s="40"/>
      <c r="X19" s="39">
        <v>6</v>
      </c>
      <c r="Y19" s="40">
        <v>14</v>
      </c>
    </row>
    <row r="20" spans="1:34" ht="115.5" customHeight="1" thickTop="1" x14ac:dyDescent="1.1499999999999999">
      <c r="A20" s="61">
        <v>7</v>
      </c>
      <c r="B20" s="51" t="s" ph="1">
        <v>0</v>
      </c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7"/>
      <c r="Q20" s="8"/>
      <c r="R20" s="51" ph="1"/>
      <c r="S20" s="52"/>
      <c r="T20" s="51" ph="1"/>
      <c r="U20" s="52"/>
      <c r="V20" s="51" t="s" ph="1">
        <v>286</v>
      </c>
      <c r="W20" s="52"/>
      <c r="X20" s="51" t="s" ph="1">
        <v>287</v>
      </c>
      <c r="Y20" s="52"/>
      <c r="Z20" ph="1"/>
      <c r="AB20" ph="1"/>
      <c r="AD20" ph="1"/>
      <c r="AF20" ph="1"/>
      <c r="AH20" ph="1"/>
    </row>
    <row r="21" spans="1:34" ht="115.5" customHeight="1" thickBot="1" x14ac:dyDescent="0.35">
      <c r="A21" s="61"/>
      <c r="B21" s="39">
        <v>6</v>
      </c>
      <c r="C21" s="40">
        <v>7</v>
      </c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7"/>
      <c r="Q21" s="8"/>
      <c r="R21" s="39"/>
      <c r="S21" s="40"/>
      <c r="T21" s="39"/>
      <c r="U21" s="40"/>
      <c r="V21" s="39">
        <v>3</v>
      </c>
      <c r="W21" s="40">
        <v>15</v>
      </c>
      <c r="X21" s="39">
        <v>10</v>
      </c>
      <c r="Y21" s="40">
        <v>8</v>
      </c>
    </row>
    <row r="22" spans="1:34" ht="115.5" customHeight="1" thickTop="1" x14ac:dyDescent="1.1499999999999999">
      <c r="A22" s="61">
        <v>8</v>
      </c>
      <c r="B22" s="51" t="s" ph="1">
        <v>0</v>
      </c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7"/>
      <c r="Q22" s="8"/>
      <c r="R22" s="51" ph="1"/>
      <c r="S22" s="52"/>
      <c r="T22" s="51" ph="1"/>
      <c r="U22" s="52"/>
      <c r="V22" s="51" ph="1"/>
      <c r="W22" s="52"/>
      <c r="X22" s="51" t="s" ph="1">
        <v>277</v>
      </c>
      <c r="Y22" s="52"/>
      <c r="Z22" ph="1"/>
      <c r="AB22" ph="1"/>
      <c r="AD22" ph="1"/>
      <c r="AF22" ph="1"/>
      <c r="AH22" ph="1"/>
    </row>
    <row r="23" spans="1:34" ht="115.5" customHeight="1" thickBot="1" x14ac:dyDescent="0.35">
      <c r="A23" s="61"/>
      <c r="B23" s="39">
        <v>16</v>
      </c>
      <c r="C23" s="40">
        <v>12</v>
      </c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7"/>
      <c r="Q23" s="8"/>
      <c r="R23" s="39"/>
      <c r="S23" s="40"/>
      <c r="T23" s="39"/>
      <c r="U23" s="40"/>
      <c r="V23" s="39"/>
      <c r="W23" s="40"/>
      <c r="X23" s="39">
        <v>13</v>
      </c>
      <c r="Y23" s="40"/>
    </row>
    <row r="24" spans="1:34" ht="115.5" customHeight="1" thickTop="1" x14ac:dyDescent="1.1499999999999999">
      <c r="A24" s="61">
        <v>9</v>
      </c>
      <c r="B24" s="51" t="s" ph="1">
        <v>0</v>
      </c>
      <c r="C24" s="52"/>
      <c r="D24" s="51" t="s" ph="1">
        <v>0</v>
      </c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7"/>
      <c r="Q24" s="8"/>
      <c r="R24" s="51" ph="1"/>
      <c r="S24" s="52"/>
      <c r="T24" s="51" ph="1"/>
      <c r="U24" s="52"/>
      <c r="V24" s="51" ph="1"/>
      <c r="W24" s="52"/>
      <c r="X24" s="51" t="s" ph="1">
        <v>272</v>
      </c>
      <c r="Y24" s="52"/>
      <c r="Z24" ph="1"/>
      <c r="AB24" ph="1"/>
      <c r="AD24" ph="1"/>
      <c r="AF24" ph="1"/>
      <c r="AH24" ph="1"/>
    </row>
    <row r="25" spans="1:34" ht="115.5" customHeight="1" thickBot="1" x14ac:dyDescent="0.35">
      <c r="A25" s="61"/>
      <c r="B25" s="39">
        <v>2</v>
      </c>
      <c r="C25" s="40">
        <v>16</v>
      </c>
      <c r="D25" s="39"/>
      <c r="E25" s="40">
        <v>5</v>
      </c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7"/>
      <c r="Q25" s="8"/>
      <c r="R25" s="39"/>
      <c r="S25" s="40"/>
      <c r="T25" s="39"/>
      <c r="U25" s="40"/>
      <c r="V25" s="39"/>
      <c r="W25" s="40"/>
      <c r="X25" s="39">
        <v>5</v>
      </c>
      <c r="Y25" s="40">
        <v>6</v>
      </c>
    </row>
    <row r="26" spans="1:34" ht="115.5" customHeight="1" thickTop="1" x14ac:dyDescent="1.1499999999999999">
      <c r="A26" s="61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7"/>
      <c r="Q26" s="8"/>
      <c r="R26" s="51" ph="1"/>
      <c r="S26" s="52"/>
      <c r="T26" s="51" ph="1"/>
      <c r="U26" s="52"/>
      <c r="V26" s="51" ph="1"/>
      <c r="W26" s="52"/>
      <c r="X26" s="51" ph="1"/>
      <c r="Y26" s="52"/>
      <c r="Z26" ph="1"/>
      <c r="AB26" ph="1"/>
      <c r="AD26" ph="1"/>
      <c r="AF26" ph="1"/>
      <c r="AH26" ph="1"/>
    </row>
    <row r="27" spans="1:34" ht="115.5" customHeight="1" thickBot="1" x14ac:dyDescent="0.35">
      <c r="A27" s="61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7"/>
      <c r="Q27" s="8"/>
      <c r="R27" s="39"/>
      <c r="S27" s="40"/>
      <c r="T27" s="39"/>
      <c r="U27" s="40"/>
      <c r="V27" s="39"/>
      <c r="W27" s="40"/>
      <c r="X27" s="39"/>
      <c r="Y27" s="40"/>
    </row>
    <row r="28" spans="1:34" ht="115.5" customHeight="1" thickTop="1" x14ac:dyDescent="1.1499999999999999">
      <c r="A28" s="61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7"/>
      <c r="Q28" s="8"/>
      <c r="R28" s="51" ph="1"/>
      <c r="S28" s="52"/>
      <c r="T28" s="51" ph="1"/>
      <c r="U28" s="52"/>
      <c r="V28" s="51" ph="1"/>
      <c r="W28" s="52"/>
      <c r="X28" s="51" ph="1"/>
      <c r="Y28" s="52"/>
      <c r="Z28" ph="1"/>
      <c r="AB28" ph="1"/>
      <c r="AD28" ph="1"/>
      <c r="AF28" ph="1"/>
      <c r="AH28" ph="1"/>
    </row>
    <row r="29" spans="1:34" ht="115.5" customHeight="1" thickBot="1" x14ac:dyDescent="0.35">
      <c r="A29" s="61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7"/>
      <c r="Q29" s="8"/>
      <c r="R29" s="39"/>
      <c r="S29" s="40"/>
      <c r="T29" s="39"/>
      <c r="U29" s="40"/>
      <c r="V29" s="39"/>
      <c r="W29" s="40"/>
      <c r="X29" s="39"/>
      <c r="Y29" s="40"/>
    </row>
    <row r="30" spans="1:34" ht="115.5" customHeight="1" thickTop="1" x14ac:dyDescent="1.1499999999999999">
      <c r="A30" s="61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7"/>
      <c r="Q30" s="8"/>
      <c r="R30" s="51" ph="1"/>
      <c r="S30" s="52"/>
      <c r="T30" s="51" ph="1"/>
      <c r="U30" s="52"/>
      <c r="V30" s="51" t="s" ph="1">
        <v>276</v>
      </c>
      <c r="W30" s="52"/>
      <c r="X30" s="51" t="s" ph="1">
        <v>275</v>
      </c>
      <c r="Y30" s="52"/>
      <c r="Z30" ph="1"/>
      <c r="AB30" ph="1"/>
      <c r="AD30" ph="1"/>
      <c r="AF30" ph="1"/>
      <c r="AH30" ph="1"/>
    </row>
    <row r="31" spans="1:34" ht="115.5" customHeight="1" thickBot="1" x14ac:dyDescent="0.35">
      <c r="A31" s="61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7"/>
      <c r="Q31" s="8"/>
      <c r="R31" s="39"/>
      <c r="S31" s="40"/>
      <c r="T31" s="39"/>
      <c r="U31" s="40"/>
      <c r="V31" s="39">
        <v>2</v>
      </c>
      <c r="W31" s="40">
        <v>14</v>
      </c>
      <c r="X31" s="39"/>
      <c r="Y31" s="40">
        <v>18</v>
      </c>
    </row>
    <row r="32" spans="1:34" ht="115.5" customHeight="1" thickTop="1" x14ac:dyDescent="1.1499999999999999">
      <c r="A32" s="61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7"/>
      <c r="Q32" s="8"/>
      <c r="R32" s="51" ph="1"/>
      <c r="S32" s="52"/>
      <c r="T32" s="51" ph="1"/>
      <c r="U32" s="52"/>
      <c r="V32" s="51" t="s" ph="1">
        <v>274</v>
      </c>
      <c r="W32" s="52"/>
      <c r="X32" s="51" t="s" ph="1">
        <v>273</v>
      </c>
      <c r="Y32" s="52"/>
      <c r="Z32" ph="1"/>
      <c r="AB32" ph="1"/>
      <c r="AD32" ph="1"/>
      <c r="AF32" ph="1"/>
      <c r="AH32" ph="1"/>
    </row>
    <row r="33" spans="1:34" ht="115.5" customHeight="1" thickBot="1" x14ac:dyDescent="0.35">
      <c r="A33" s="61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7"/>
      <c r="Q33" s="8"/>
      <c r="R33" s="39"/>
      <c r="S33" s="40"/>
      <c r="T33" s="39"/>
      <c r="U33" s="40"/>
      <c r="V33" s="39">
        <v>1</v>
      </c>
      <c r="W33" s="40">
        <v>3</v>
      </c>
      <c r="X33" s="39">
        <v>1</v>
      </c>
      <c r="Y33" s="40">
        <v>16</v>
      </c>
    </row>
    <row r="34" spans="1:34" ht="115.5" customHeight="1" thickTop="1" x14ac:dyDescent="1.1499999999999999">
      <c r="A34" s="61">
        <v>14</v>
      </c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7"/>
      <c r="Q34" s="8"/>
      <c r="R34" s="51" ph="1"/>
      <c r="S34" s="52"/>
      <c r="T34" s="51" ph="1"/>
      <c r="U34" s="52"/>
      <c r="V34" s="51" ph="1"/>
      <c r="W34" s="52"/>
      <c r="X34" s="51" t="s" ph="1">
        <v>272</v>
      </c>
      <c r="Y34" s="52"/>
      <c r="Z34" ph="1"/>
      <c r="AB34" ph="1"/>
      <c r="AD34" ph="1"/>
      <c r="AF34" ph="1"/>
      <c r="AH34" ph="1"/>
    </row>
    <row r="35" spans="1:34" ht="115.5" customHeight="1" thickBot="1" x14ac:dyDescent="0.35">
      <c r="A35" s="61"/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7"/>
      <c r="Q35" s="8"/>
      <c r="R35" s="39"/>
      <c r="S35" s="40"/>
      <c r="T35" s="39"/>
      <c r="U35" s="40"/>
      <c r="V35" s="39"/>
      <c r="W35" s="40"/>
      <c r="X35" s="39">
        <v>2</v>
      </c>
      <c r="Y35" s="40">
        <v>1</v>
      </c>
    </row>
    <row r="36" spans="1:34" ht="115.5" customHeight="1" thickTop="1" x14ac:dyDescent="1.1499999999999999">
      <c r="A36" s="61">
        <v>15</v>
      </c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7"/>
      <c r="Q36" s="8"/>
      <c r="R36" s="51" ph="1"/>
      <c r="S36" s="52"/>
      <c r="T36" s="51" ph="1"/>
      <c r="U36" s="52"/>
      <c r="V36" s="51" ph="1"/>
      <c r="W36" s="52"/>
      <c r="X36" s="51" t="s" ph="1">
        <v>271</v>
      </c>
      <c r="Y36" s="52"/>
      <c r="Z36" ph="1"/>
      <c r="AB36" ph="1"/>
      <c r="AD36" ph="1"/>
      <c r="AF36" ph="1"/>
      <c r="AH36" ph="1"/>
    </row>
    <row r="37" spans="1:34" ht="115.5" customHeight="1" thickBot="1" x14ac:dyDescent="0.35">
      <c r="A37" s="61"/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7"/>
      <c r="Q37" s="8"/>
      <c r="R37" s="39"/>
      <c r="S37" s="40"/>
      <c r="T37" s="39"/>
      <c r="U37" s="40"/>
      <c r="V37" s="39"/>
      <c r="W37" s="40"/>
      <c r="X37" s="39">
        <v>16</v>
      </c>
      <c r="Y37" s="40">
        <v>2</v>
      </c>
    </row>
    <row r="38" spans="1:34" ht="115.5" customHeight="1" thickTop="1" x14ac:dyDescent="1.1499999999999999">
      <c r="A38" s="61">
        <v>16</v>
      </c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7"/>
      <c r="Q38" s="8"/>
      <c r="R38" s="51" ph="1"/>
      <c r="S38" s="52"/>
      <c r="T38" s="51" ph="1"/>
      <c r="U38" s="52"/>
      <c r="V38" s="51" ph="1"/>
      <c r="W38" s="52"/>
      <c r="X38" s="51" t="s" ph="1">
        <v>270</v>
      </c>
      <c r="Y38" s="52"/>
      <c r="Z38" ph="1"/>
      <c r="AB38" ph="1"/>
      <c r="AD38" ph="1"/>
      <c r="AF38" ph="1"/>
      <c r="AH38" ph="1"/>
    </row>
    <row r="39" spans="1:34" ht="115.5" customHeight="1" thickBot="1" x14ac:dyDescent="0.35">
      <c r="A39" s="61"/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7"/>
      <c r="Q39" s="8"/>
      <c r="R39" s="39"/>
      <c r="S39" s="40"/>
      <c r="T39" s="39"/>
      <c r="U39" s="40"/>
      <c r="V39" s="39"/>
      <c r="W39" s="40"/>
      <c r="X39" s="39">
        <v>3</v>
      </c>
      <c r="Y39" s="40">
        <v>6</v>
      </c>
    </row>
    <row r="40" spans="1:34" ht="115.5" customHeight="1" thickTop="1" x14ac:dyDescent="1.1499999999999999">
      <c r="A40" s="61">
        <v>17</v>
      </c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7"/>
      <c r="Q40" s="8"/>
      <c r="R40" s="51" ph="1"/>
      <c r="S40" s="52"/>
      <c r="T40" s="51" ph="1"/>
      <c r="U40" s="52"/>
      <c r="V40" s="51" t="s" ph="1">
        <v>269</v>
      </c>
      <c r="W40" s="52"/>
      <c r="X40" s="51" t="s" ph="1">
        <v>268</v>
      </c>
      <c r="Y40" s="52"/>
      <c r="Z40" ph="1"/>
      <c r="AB40" ph="1"/>
      <c r="AD40" ph="1"/>
      <c r="AF40" ph="1"/>
      <c r="AH40" ph="1"/>
    </row>
    <row r="41" spans="1:34" ht="115.5" customHeight="1" thickBot="1" x14ac:dyDescent="0.35">
      <c r="A41" s="61"/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7"/>
      <c r="Q41" s="8"/>
      <c r="R41" s="39"/>
      <c r="S41" s="40"/>
      <c r="T41" s="39"/>
      <c r="U41" s="40"/>
      <c r="V41" s="39"/>
      <c r="W41" s="40">
        <v>21</v>
      </c>
      <c r="X41" s="39">
        <v>2</v>
      </c>
      <c r="Y41" s="40">
        <v>23</v>
      </c>
    </row>
    <row r="42" spans="1:34" ht="115.5" customHeight="1" thickTop="1" x14ac:dyDescent="1.1499999999999999">
      <c r="A42" s="61">
        <v>18</v>
      </c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7"/>
      <c r="Q42" s="8"/>
      <c r="R42" s="51" ph="1"/>
      <c r="S42" s="52"/>
      <c r="T42" s="51" ph="1"/>
      <c r="U42" s="52"/>
      <c r="V42" s="51" t="s" ph="1">
        <v>267</v>
      </c>
      <c r="W42" s="52"/>
      <c r="X42" s="51" t="s" ph="1">
        <v>266</v>
      </c>
      <c r="Y42" s="52"/>
      <c r="Z42" ph="1"/>
      <c r="AB42" ph="1"/>
      <c r="AD42" ph="1"/>
      <c r="AF42" ph="1"/>
      <c r="AH42" ph="1"/>
    </row>
    <row r="43" spans="1:34" ht="115.5" customHeight="1" thickBot="1" x14ac:dyDescent="0.35">
      <c r="A43" s="61"/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7"/>
      <c r="Q43" s="8"/>
      <c r="R43" s="39"/>
      <c r="S43" s="40"/>
      <c r="T43" s="39"/>
      <c r="U43" s="40"/>
      <c r="V43" s="39"/>
      <c r="W43" s="40">
        <v>22</v>
      </c>
      <c r="X43" s="39">
        <v>12</v>
      </c>
      <c r="Y43" s="40">
        <v>12</v>
      </c>
    </row>
    <row r="44" spans="1:34" ht="115.5" customHeight="1" thickTop="1" thickBot="1" x14ac:dyDescent="0.35">
      <c r="B44" s="43">
        <v>1</v>
      </c>
      <c r="C44" s="44"/>
      <c r="D44" s="45">
        <v>2</v>
      </c>
      <c r="E44" s="46"/>
      <c r="F44" s="45">
        <v>3</v>
      </c>
      <c r="G44" s="46"/>
      <c r="H44" s="45">
        <v>4</v>
      </c>
      <c r="I44" s="44"/>
      <c r="J44" s="45">
        <v>5</v>
      </c>
      <c r="K44" s="46"/>
      <c r="L44" s="45">
        <v>6</v>
      </c>
      <c r="M44" s="46"/>
      <c r="N44" s="45">
        <v>7</v>
      </c>
      <c r="O44" s="44"/>
      <c r="P44" s="37"/>
      <c r="Q44" s="33"/>
      <c r="R44" s="31">
        <v>4</v>
      </c>
      <c r="S44" s="32"/>
      <c r="T44" s="31">
        <v>3</v>
      </c>
      <c r="U44" s="30"/>
      <c r="V44" s="31">
        <v>2</v>
      </c>
      <c r="W44" s="32"/>
      <c r="X44" s="31">
        <v>1</v>
      </c>
      <c r="Y44" s="32"/>
    </row>
    <row r="45" spans="1:34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1"/>
      <c r="Q45" s="11"/>
      <c r="R45" s="11"/>
      <c r="S45" s="11"/>
      <c r="T45" s="9"/>
      <c r="U45" s="9"/>
      <c r="V45" s="9"/>
      <c r="W45" s="9"/>
      <c r="X45" s="9"/>
      <c r="Y45" s="12"/>
    </row>
    <row r="46" spans="1:34" ht="17.25" thickTop="1" x14ac:dyDescent="0.3"/>
  </sheetData>
  <mergeCells count="31">
    <mergeCell ref="A38:A39"/>
    <mergeCell ref="A40:A41"/>
    <mergeCell ref="A42:A43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H4:K4"/>
    <mergeCell ref="R6:S6"/>
    <mergeCell ref="T6:U6"/>
    <mergeCell ref="V6:W6"/>
    <mergeCell ref="L6:M6"/>
    <mergeCell ref="X6:Y6"/>
    <mergeCell ref="N6:O6"/>
    <mergeCell ref="P6:Q6"/>
    <mergeCell ref="B6:C6"/>
    <mergeCell ref="D6:E6"/>
    <mergeCell ref="F6:G6"/>
    <mergeCell ref="H6:I6"/>
    <mergeCell ref="J6:K6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3:AM46"/>
  <sheetViews>
    <sheetView view="pageBreakPreview" topLeftCell="D1" zoomScale="40" zoomScaleNormal="55" zoomScaleSheetLayoutView="40" workbookViewId="0">
      <selection activeCell="F5" sqref="F5:G5"/>
    </sheetView>
  </sheetViews>
  <sheetFormatPr defaultRowHeight="16.5" x14ac:dyDescent="0.3"/>
  <cols>
    <col min="1" max="1" width="27.125" customWidth="1"/>
    <col min="2" max="39" width="32.125" customWidth="1"/>
  </cols>
  <sheetData>
    <row r="3" spans="1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9" ht="115.5" customHeight="1" thickTop="1" thickBot="1" x14ac:dyDescent="0.35">
      <c r="B4" s="1"/>
      <c r="C4" s="35" t="s">
        <v>223</v>
      </c>
      <c r="D4" s="36"/>
      <c r="E4" s="36"/>
      <c r="F4" s="6"/>
      <c r="G4" s="5"/>
      <c r="H4" s="60">
        <f ca="1">(TODAY())</f>
        <v>46206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1:39" ht="115.5" customHeight="1" thickTop="1" thickBot="1" x14ac:dyDescent="0.35">
      <c r="B5" s="62">
        <v>1</v>
      </c>
      <c r="C5" s="63"/>
      <c r="D5" s="62">
        <v>2</v>
      </c>
      <c r="E5" s="63"/>
      <c r="F5" s="62">
        <v>3</v>
      </c>
      <c r="G5" s="63"/>
      <c r="H5" s="62">
        <v>4</v>
      </c>
      <c r="I5" s="63"/>
      <c r="J5" s="62">
        <v>5</v>
      </c>
      <c r="K5" s="63"/>
      <c r="L5" s="62">
        <v>6</v>
      </c>
      <c r="M5" s="63"/>
      <c r="N5" s="62">
        <v>7</v>
      </c>
      <c r="O5" s="63"/>
      <c r="P5" s="62">
        <v>8</v>
      </c>
      <c r="Q5" s="63"/>
      <c r="R5" s="62">
        <v>9</v>
      </c>
      <c r="S5" s="63"/>
      <c r="T5" s="34"/>
      <c r="U5" s="32"/>
      <c r="V5" s="62">
        <v>9</v>
      </c>
      <c r="W5" s="63"/>
      <c r="X5" s="62">
        <v>8</v>
      </c>
      <c r="Y5" s="63"/>
      <c r="Z5" s="62">
        <v>7</v>
      </c>
      <c r="AA5" s="63"/>
      <c r="AB5" s="62">
        <v>6</v>
      </c>
      <c r="AC5" s="63"/>
      <c r="AD5" s="62">
        <v>5</v>
      </c>
      <c r="AE5" s="63"/>
      <c r="AF5" s="62">
        <v>4</v>
      </c>
      <c r="AG5" s="63"/>
      <c r="AH5" s="62">
        <v>3</v>
      </c>
      <c r="AI5" s="63"/>
      <c r="AJ5" s="62">
        <v>2</v>
      </c>
      <c r="AK5" s="63"/>
      <c r="AL5" s="62">
        <v>1</v>
      </c>
      <c r="AM5" s="63"/>
    </row>
    <row r="6" spans="1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1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1:39" ht="115.5" customHeight="1" thickTop="1" x14ac:dyDescent="1.1499999999999999">
      <c r="A8" s="61">
        <v>1</v>
      </c>
      <c r="B8" s="51" t="s" ph="1">
        <v>0</v>
      </c>
      <c r="C8" s="52"/>
      <c r="D8" s="51" t="s" ph="1">
        <v>356</v>
      </c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t="s" ph="1">
        <v>294</v>
      </c>
      <c r="AM8" s="52"/>
    </row>
    <row r="9" spans="1:39" ht="115.5" customHeight="1" thickBot="1" x14ac:dyDescent="0.35">
      <c r="A9" s="61"/>
      <c r="B9" s="39">
        <v>10</v>
      </c>
      <c r="C9" s="40">
        <v>18</v>
      </c>
      <c r="D9" s="39">
        <v>10</v>
      </c>
      <c r="E9" s="40">
        <v>18</v>
      </c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>
        <v>18</v>
      </c>
      <c r="AM9" s="40"/>
    </row>
    <row r="10" spans="1:39" ht="115.5" customHeight="1" thickTop="1" x14ac:dyDescent="1.1499999999999999">
      <c r="A10" s="61">
        <v>2</v>
      </c>
      <c r="B10" s="51" t="s" ph="1">
        <v>301</v>
      </c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t="s" ph="1">
        <v>295</v>
      </c>
      <c r="AM10" s="52"/>
    </row>
    <row r="11" spans="1:39" ht="115.5" customHeight="1" thickBot="1" x14ac:dyDescent="0.35">
      <c r="A11" s="61"/>
      <c r="B11" s="39">
        <v>4</v>
      </c>
      <c r="C11" s="40">
        <v>3</v>
      </c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>
        <v>17</v>
      </c>
      <c r="AM11" s="40"/>
    </row>
    <row r="12" spans="1:39" ht="115.5" customHeight="1" thickTop="1" x14ac:dyDescent="1.1499999999999999">
      <c r="A12" s="61">
        <v>3</v>
      </c>
      <c r="B12" s="51" t="s" ph="1">
        <v>302</v>
      </c>
      <c r="C12" s="52"/>
      <c r="D12" s="51" t="s" ph="1">
        <v>300</v>
      </c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t="s" ph="1">
        <v>296</v>
      </c>
      <c r="AM12" s="52"/>
    </row>
    <row r="13" spans="1:39" ht="115.5" customHeight="1" thickBot="1" x14ac:dyDescent="0.35">
      <c r="A13" s="61"/>
      <c r="B13" s="39">
        <v>10</v>
      </c>
      <c r="C13" s="40">
        <v>3</v>
      </c>
      <c r="D13" s="39"/>
      <c r="E13" s="40">
        <v>9</v>
      </c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>
        <v>6</v>
      </c>
      <c r="AM13" s="40"/>
    </row>
    <row r="14" spans="1:39" ht="115.5" customHeight="1" thickTop="1" x14ac:dyDescent="1.1499999999999999">
      <c r="A14" s="61">
        <v>4</v>
      </c>
      <c r="B14" s="51" t="s" ph="1">
        <v>303</v>
      </c>
      <c r="C14" s="52"/>
      <c r="D14" s="51" t="s" ph="1">
        <v>304</v>
      </c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t="s" ph="1">
        <v>297</v>
      </c>
      <c r="AM14" s="52"/>
    </row>
    <row r="15" spans="1:39" ht="115.5" customHeight="1" thickBot="1" x14ac:dyDescent="0.35">
      <c r="A15" s="61"/>
      <c r="B15" s="39">
        <v>2</v>
      </c>
      <c r="C15" s="40">
        <v>3</v>
      </c>
      <c r="D15" s="39"/>
      <c r="E15" s="40">
        <v>3</v>
      </c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>
        <v>4</v>
      </c>
      <c r="AM15" s="40">
        <v>8</v>
      </c>
    </row>
    <row r="16" spans="1:39" ht="115.5" customHeight="1" thickTop="1" x14ac:dyDescent="1.1499999999999999">
      <c r="A16" s="61">
        <v>5</v>
      </c>
      <c r="B16" s="51" t="s" ph="1">
        <v>305</v>
      </c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t="s" ph="1">
        <v>298</v>
      </c>
      <c r="AM16" s="52"/>
    </row>
    <row r="17" spans="1:39" ht="115.5" customHeight="1" thickBot="1" x14ac:dyDescent="0.35">
      <c r="A17" s="61"/>
      <c r="B17" s="39">
        <v>8</v>
      </c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>
        <v>11</v>
      </c>
      <c r="AM17" s="40">
        <v>5</v>
      </c>
    </row>
    <row r="18" spans="1:39" ht="115.5" customHeight="1" thickTop="1" x14ac:dyDescent="1.1499999999999999">
      <c r="A18" s="61">
        <v>6</v>
      </c>
      <c r="B18" s="51" t="s" ph="1">
        <v>306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t="s" ph="1">
        <v>299</v>
      </c>
      <c r="AM18" s="52"/>
    </row>
    <row r="19" spans="1:39" ht="115.5" customHeight="1" thickBot="1" x14ac:dyDescent="0.35">
      <c r="A19" s="61"/>
      <c r="B19" s="39">
        <v>6</v>
      </c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>
        <v>11</v>
      </c>
      <c r="AM19" s="40">
        <v>4</v>
      </c>
    </row>
    <row r="20" spans="1:39" ht="115.5" customHeight="1" thickTop="1" x14ac:dyDescent="1.1499999999999999">
      <c r="A20" s="61">
        <v>7</v>
      </c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t="s" ph="1">
        <v>293</v>
      </c>
      <c r="AM20" s="52"/>
    </row>
    <row r="21" spans="1:39" ht="115.5" customHeight="1" thickBot="1" x14ac:dyDescent="0.35">
      <c r="A21" s="61"/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>
        <v>12</v>
      </c>
      <c r="AM21" s="40"/>
    </row>
    <row r="22" spans="1:39" ht="115.5" customHeight="1" thickTop="1" x14ac:dyDescent="1.1499999999999999">
      <c r="A22" s="61">
        <v>8</v>
      </c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1:39" ht="115.5" customHeight="1" thickBot="1" x14ac:dyDescent="0.35">
      <c r="A23" s="61"/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1:39" ht="115.5" customHeight="1" thickTop="1" x14ac:dyDescent="1.1499999999999999">
      <c r="A24" s="61">
        <v>9</v>
      </c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1:39" ht="115.5" customHeight="1" thickBot="1" x14ac:dyDescent="0.35">
      <c r="A25" s="61"/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1:39" ht="115.5" customHeight="1" thickTop="1" x14ac:dyDescent="1.1499999999999999">
      <c r="A26" s="61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1:39" ht="115.5" customHeight="1" thickBot="1" x14ac:dyDescent="0.35">
      <c r="A27" s="61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1:39" ht="115.5" customHeight="1" thickTop="1" x14ac:dyDescent="1.1499999999999999">
      <c r="A28" s="61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1:39" ht="115.5" customHeight="1" thickBot="1" x14ac:dyDescent="0.35">
      <c r="A29" s="61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1:39" ht="115.5" customHeight="1" thickTop="1" x14ac:dyDescent="1.1499999999999999">
      <c r="A30" s="61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1:39" ht="115.5" customHeight="1" thickBot="1" x14ac:dyDescent="0.35">
      <c r="A31" s="61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1:39" ht="115.5" customHeight="1" thickTop="1" x14ac:dyDescent="1.1499999999999999">
      <c r="A32" s="61">
        <v>13</v>
      </c>
      <c r="B32" s="51" t="s" ph="1">
        <v>312</v>
      </c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t="s" ph="1">
        <v>292</v>
      </c>
      <c r="AM32" s="52"/>
    </row>
    <row r="33" spans="1:39" ht="115.5" customHeight="1" thickBot="1" x14ac:dyDescent="0.35">
      <c r="A33" s="61"/>
      <c r="B33" s="39">
        <v>5</v>
      </c>
      <c r="C33" s="40">
        <v>2</v>
      </c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>
        <v>5</v>
      </c>
      <c r="AM33" s="40"/>
    </row>
    <row r="34" spans="1:39" ht="115.5" customHeight="1" thickTop="1" x14ac:dyDescent="1.1499999999999999">
      <c r="A34" s="61">
        <v>14</v>
      </c>
      <c r="B34" s="51" t="s" ph="1">
        <v>311</v>
      </c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t="s" ph="1">
        <v>291</v>
      </c>
      <c r="AM34" s="52"/>
    </row>
    <row r="35" spans="1:39" ht="115.5" customHeight="1" thickBot="1" x14ac:dyDescent="0.35">
      <c r="A35" s="61"/>
      <c r="B35" s="39">
        <v>15</v>
      </c>
      <c r="C35" s="40">
        <v>5</v>
      </c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>
        <v>7</v>
      </c>
      <c r="AM35" s="40">
        <v>17</v>
      </c>
    </row>
    <row r="36" spans="1:39" ht="115.5" customHeight="1" thickTop="1" x14ac:dyDescent="1.1499999999999999">
      <c r="A36" s="61">
        <v>15</v>
      </c>
      <c r="B36" s="51" t="s" ph="1">
        <v>310</v>
      </c>
      <c r="C36" s="52"/>
      <c r="D36" s="51" t="s" ph="1">
        <v>305</v>
      </c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t="s" ph="1">
        <v>290</v>
      </c>
      <c r="AM36" s="52"/>
    </row>
    <row r="37" spans="1:39" ht="115.5" customHeight="1" thickBot="1" x14ac:dyDescent="0.35">
      <c r="A37" s="61"/>
      <c r="B37" s="39">
        <v>6</v>
      </c>
      <c r="C37" s="40">
        <v>7</v>
      </c>
      <c r="D37" s="39"/>
      <c r="E37" s="40">
        <v>3</v>
      </c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>
        <v>10</v>
      </c>
      <c r="AM37" s="40">
        <v>17</v>
      </c>
    </row>
    <row r="38" spans="1:39" ht="115.5" customHeight="1" thickTop="1" x14ac:dyDescent="1.1499999999999999">
      <c r="A38" s="61">
        <v>16</v>
      </c>
      <c r="B38" s="51" t="s" ph="1">
        <v>309</v>
      </c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t="s" ph="1">
        <v>289</v>
      </c>
      <c r="AM38" s="52"/>
    </row>
    <row r="39" spans="1:39" ht="115.5" customHeight="1" thickBot="1" x14ac:dyDescent="0.35">
      <c r="A39" s="61"/>
      <c r="B39" s="39">
        <v>20</v>
      </c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>
        <v>18</v>
      </c>
      <c r="AM39" s="40"/>
    </row>
    <row r="40" spans="1:39" ht="115.5" customHeight="1" thickTop="1" x14ac:dyDescent="1.1499999999999999">
      <c r="A40" s="61">
        <v>17</v>
      </c>
      <c r="B40" s="51" t="s" ph="1">
        <v>304</v>
      </c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1:39" ht="115.5" customHeight="1" thickBot="1" x14ac:dyDescent="0.35">
      <c r="A41" s="61"/>
      <c r="B41" s="39">
        <v>17</v>
      </c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1:39" ht="115.5" customHeight="1" thickTop="1" x14ac:dyDescent="1.1499999999999999">
      <c r="A42" s="61">
        <v>18</v>
      </c>
      <c r="B42" s="51" t="s" ph="1">
        <v>308</v>
      </c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t="s" ph="1">
        <v>288</v>
      </c>
      <c r="AM42" s="52"/>
    </row>
    <row r="43" spans="1:39" ht="115.5" customHeight="1" thickBot="1" x14ac:dyDescent="0.35">
      <c r="A43" s="61"/>
      <c r="B43" s="39">
        <v>3</v>
      </c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>
        <v>10</v>
      </c>
      <c r="AM43" s="40">
        <v>5</v>
      </c>
    </row>
    <row r="44" spans="1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1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1:39" ht="17.25" thickTop="1" x14ac:dyDescent="0.3"/>
  </sheetData>
  <mergeCells count="57">
    <mergeCell ref="AA45:AC45"/>
    <mergeCell ref="V6:W6"/>
    <mergeCell ref="X6:Y6"/>
    <mergeCell ref="AB6:AC6"/>
    <mergeCell ref="AD6:AE6"/>
    <mergeCell ref="AF6:AG6"/>
    <mergeCell ref="AH6:AI6"/>
    <mergeCell ref="AJ6:AK6"/>
    <mergeCell ref="AL6:AM6"/>
    <mergeCell ref="L6:M6"/>
    <mergeCell ref="N6:O6"/>
    <mergeCell ref="P6:Q6"/>
    <mergeCell ref="R6:S6"/>
    <mergeCell ref="T6:U6"/>
    <mergeCell ref="Z6:AA6"/>
    <mergeCell ref="A10:A11"/>
    <mergeCell ref="A12:A13"/>
    <mergeCell ref="A14:A15"/>
    <mergeCell ref="A16:A17"/>
    <mergeCell ref="H4:K4"/>
    <mergeCell ref="B6:C6"/>
    <mergeCell ref="D6:E6"/>
    <mergeCell ref="F6:G6"/>
    <mergeCell ref="H6:I6"/>
    <mergeCell ref="J6:K6"/>
    <mergeCell ref="B5:C5"/>
    <mergeCell ref="H5:I5"/>
    <mergeCell ref="J5:K5"/>
    <mergeCell ref="A38:A39"/>
    <mergeCell ref="A40:A41"/>
    <mergeCell ref="A42:A43"/>
    <mergeCell ref="D5:E5"/>
    <mergeCell ref="F5:G5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L5:M5"/>
    <mergeCell ref="N5:O5"/>
    <mergeCell ref="P5:Q5"/>
    <mergeCell ref="R5:S5"/>
    <mergeCell ref="V5:W5"/>
    <mergeCell ref="AH5:AI5"/>
    <mergeCell ref="AJ5:AK5"/>
    <mergeCell ref="AL5:AM5"/>
    <mergeCell ref="X5:Y5"/>
    <mergeCell ref="Z5:AA5"/>
    <mergeCell ref="AB5:AC5"/>
    <mergeCell ref="AD5:AE5"/>
    <mergeCell ref="AF5:AG5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3:AL46"/>
  <sheetViews>
    <sheetView view="pageBreakPreview" zoomScale="25" zoomScaleNormal="55" zoomScaleSheetLayoutView="25" workbookViewId="0">
      <selection activeCell="Q8" sqref="Q8"/>
    </sheetView>
  </sheetViews>
  <sheetFormatPr defaultRowHeight="16.5" x14ac:dyDescent="0.3"/>
  <cols>
    <col min="1" max="1" width="27.125" customWidth="1"/>
    <col min="2" max="35" width="32.125" customWidth="1"/>
  </cols>
  <sheetData>
    <row r="3" spans="1:38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8" ht="115.5" customHeight="1" thickTop="1" thickBot="1" x14ac:dyDescent="0.35">
      <c r="B4" s="1"/>
      <c r="C4" s="35" t="s">
        <v>224</v>
      </c>
      <c r="D4" s="36"/>
      <c r="E4" s="36"/>
      <c r="F4" s="6"/>
      <c r="G4" s="5"/>
      <c r="H4" s="60">
        <f ca="1">(TODAY())</f>
        <v>46206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4"/>
    </row>
    <row r="5" spans="1:38" ht="115.5" customHeight="1" thickTop="1" thickBot="1" x14ac:dyDescent="0.35">
      <c r="B5" s="25">
        <v>1</v>
      </c>
      <c r="C5" s="30"/>
      <c r="D5" s="31">
        <v>2</v>
      </c>
      <c r="E5" s="32"/>
      <c r="F5" s="31">
        <v>3</v>
      </c>
      <c r="G5" s="32"/>
      <c r="H5" s="31">
        <v>4</v>
      </c>
      <c r="I5" s="30"/>
      <c r="J5" s="31">
        <v>5</v>
      </c>
      <c r="K5" s="32"/>
      <c r="L5" s="31">
        <v>6</v>
      </c>
      <c r="M5" s="32"/>
      <c r="N5" s="31">
        <v>7</v>
      </c>
      <c r="O5" s="30"/>
      <c r="P5" s="34"/>
      <c r="Q5" s="32"/>
      <c r="R5" s="31">
        <v>9</v>
      </c>
      <c r="S5" s="32"/>
      <c r="T5" s="31">
        <v>8</v>
      </c>
      <c r="U5" s="32"/>
      <c r="V5" s="31">
        <v>7</v>
      </c>
      <c r="W5" s="32"/>
      <c r="X5" s="31">
        <v>6</v>
      </c>
      <c r="Y5" s="30"/>
      <c r="Z5" s="31">
        <v>5</v>
      </c>
      <c r="AA5" s="32"/>
      <c r="AB5" s="31">
        <v>4</v>
      </c>
      <c r="AC5" s="32"/>
      <c r="AD5" s="31">
        <v>3</v>
      </c>
      <c r="AE5" s="30"/>
      <c r="AF5" s="31">
        <v>2</v>
      </c>
      <c r="AG5" s="32"/>
      <c r="AH5" s="31">
        <v>1</v>
      </c>
      <c r="AI5" s="32"/>
    </row>
    <row r="6" spans="1:38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9"/>
      <c r="Q6" s="59"/>
      <c r="R6" s="56" t="s">
        <v>152</v>
      </c>
      <c r="S6" s="57"/>
      <c r="T6" s="56" t="s">
        <v>152</v>
      </c>
      <c r="U6" s="57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149</v>
      </c>
      <c r="AG6" s="57"/>
      <c r="AH6" s="56" t="s">
        <v>149</v>
      </c>
      <c r="AI6" s="57"/>
    </row>
    <row r="7" spans="1:38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8"/>
      <c r="Q7" s="29"/>
      <c r="R7" s="26" t="s">
        <v>153</v>
      </c>
      <c r="S7" s="27" t="s">
        <v>154</v>
      </c>
      <c r="T7" s="26" t="s">
        <v>153</v>
      </c>
      <c r="U7" s="27" t="s">
        <v>154</v>
      </c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</row>
    <row r="8" spans="1:38" ht="115.5" customHeight="1" thickTop="1" x14ac:dyDescent="1.1499999999999999">
      <c r="A8" s="61">
        <v>1</v>
      </c>
      <c r="B8" s="51" t="s" ph="1">
        <v>0</v>
      </c>
      <c r="C8" s="52"/>
      <c r="D8" s="51" t="s" ph="1">
        <v>320</v>
      </c>
      <c r="E8" s="52"/>
      <c r="F8" s="51" t="s" ph="1">
        <v>321</v>
      </c>
      <c r="G8" s="52"/>
      <c r="H8" s="51" t="s" ph="1">
        <v>322</v>
      </c>
      <c r="I8" s="52"/>
      <c r="J8" s="51" ph="1"/>
      <c r="K8" s="52"/>
      <c r="L8" s="51" ph="1"/>
      <c r="M8" s="52"/>
      <c r="N8" s="51" ph="1"/>
      <c r="O8" s="52"/>
      <c r="P8" s="20"/>
      <c r="Q8" s="8"/>
      <c r="R8" s="51" ph="1"/>
      <c r="S8" s="52"/>
      <c r="T8" s="51" ph="1"/>
      <c r="U8" s="52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t="s" ph="1">
        <v>313</v>
      </c>
      <c r="AI8" s="52"/>
      <c r="AJ8" ph="1"/>
      <c r="AL8" ph="1"/>
    </row>
    <row r="9" spans="1:38" ht="115.5" customHeight="1" thickBot="1" x14ac:dyDescent="0.35">
      <c r="A9" s="61"/>
      <c r="B9" s="39">
        <v>10</v>
      </c>
      <c r="C9" s="40">
        <v>18</v>
      </c>
      <c r="D9" s="39"/>
      <c r="E9" s="40">
        <v>1</v>
      </c>
      <c r="F9" s="39"/>
      <c r="G9" s="40">
        <v>3</v>
      </c>
      <c r="H9" s="39">
        <v>2</v>
      </c>
      <c r="I9" s="40">
        <v>8</v>
      </c>
      <c r="J9" s="39"/>
      <c r="K9" s="40"/>
      <c r="L9" s="39"/>
      <c r="M9" s="40"/>
      <c r="N9" s="39"/>
      <c r="O9" s="40"/>
      <c r="P9" s="19"/>
      <c r="Q9" s="21"/>
      <c r="R9" s="39"/>
      <c r="S9" s="40"/>
      <c r="T9" s="39"/>
      <c r="U9" s="40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>
        <v>2</v>
      </c>
      <c r="AI9" s="40">
        <v>7</v>
      </c>
    </row>
    <row r="10" spans="1:38" ht="115.5" customHeight="1" thickTop="1" x14ac:dyDescent="1.1499999999999999">
      <c r="A10" s="61">
        <v>2</v>
      </c>
      <c r="B10" s="51" t="s" ph="1">
        <v>323</v>
      </c>
      <c r="C10" s="52"/>
      <c r="D10" s="51" t="s" ph="1">
        <v>324</v>
      </c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20"/>
      <c r="Q10" s="8"/>
      <c r="R10" s="51" ph="1"/>
      <c r="S10" s="52"/>
      <c r="T10" s="51" ph="1"/>
      <c r="U10" s="52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t="s" ph="1">
        <v>314</v>
      </c>
      <c r="AI10" s="52"/>
      <c r="AJ10" ph="1"/>
      <c r="AL10" ph="1"/>
    </row>
    <row r="11" spans="1:38" ht="115.5" customHeight="1" thickBot="1" x14ac:dyDescent="0.35">
      <c r="A11" s="61"/>
      <c r="B11" s="39"/>
      <c r="C11" s="40">
        <v>18</v>
      </c>
      <c r="D11" s="39"/>
      <c r="E11" s="40">
        <v>11</v>
      </c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17"/>
      <c r="Q11" s="18"/>
      <c r="R11" s="39"/>
      <c r="S11" s="40"/>
      <c r="T11" s="39"/>
      <c r="U11" s="40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>
        <v>18</v>
      </c>
      <c r="AI11" s="40"/>
    </row>
    <row r="12" spans="1:38" ht="115.5" customHeight="1" thickTop="1" x14ac:dyDescent="1.1499999999999999">
      <c r="A12" s="61">
        <v>3</v>
      </c>
      <c r="B12" s="51" t="s" ph="1">
        <v>325</v>
      </c>
      <c r="C12" s="52"/>
      <c r="D12" s="51" t="s" ph="1">
        <v>326</v>
      </c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7"/>
      <c r="Q12" s="8"/>
      <c r="R12" s="51" ph="1"/>
      <c r="S12" s="52"/>
      <c r="T12" s="51" ph="1"/>
      <c r="U12" s="52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t="s" ph="1">
        <v>314</v>
      </c>
      <c r="AI12" s="52"/>
      <c r="AJ12" ph="1"/>
      <c r="AL12" ph="1"/>
    </row>
    <row r="13" spans="1:38" ht="115.5" customHeight="1" thickBot="1" x14ac:dyDescent="0.35">
      <c r="A13" s="61"/>
      <c r="B13" s="39"/>
      <c r="C13" s="40">
        <v>8</v>
      </c>
      <c r="D13" s="39"/>
      <c r="E13" s="40">
        <v>5</v>
      </c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17"/>
      <c r="Q13" s="18"/>
      <c r="R13" s="39"/>
      <c r="S13" s="40"/>
      <c r="T13" s="39"/>
      <c r="U13" s="40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>
        <v>20</v>
      </c>
      <c r="AI13" s="40"/>
    </row>
    <row r="14" spans="1:38" ht="115.5" customHeight="1" thickTop="1" x14ac:dyDescent="1.1499999999999999">
      <c r="A14" s="61">
        <v>4</v>
      </c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7"/>
      <c r="Q14" s="8"/>
      <c r="R14" s="51" ph="1"/>
      <c r="S14" s="52"/>
      <c r="T14" s="51" ph="1"/>
      <c r="U14" s="52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t="s" ph="1">
        <v>315</v>
      </c>
      <c r="AI14" s="52"/>
      <c r="AJ14" ph="1"/>
      <c r="AL14" ph="1"/>
    </row>
    <row r="15" spans="1:38" ht="115.5" customHeight="1" thickBot="1" x14ac:dyDescent="0.35">
      <c r="A15" s="61"/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17"/>
      <c r="Q15" s="18"/>
      <c r="R15" s="39"/>
      <c r="S15" s="40"/>
      <c r="T15" s="39"/>
      <c r="U15" s="40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>
        <v>6</v>
      </c>
      <c r="AI15" s="40">
        <v>12</v>
      </c>
    </row>
    <row r="16" spans="1:38" ht="115.5" customHeight="1" thickTop="1" x14ac:dyDescent="1.1499999999999999">
      <c r="A16" s="61">
        <v>5</v>
      </c>
      <c r="B16" s="51" t="s" ph="1">
        <v>327</v>
      </c>
      <c r="C16" s="52"/>
      <c r="D16" s="51" t="s" ph="1">
        <v>328</v>
      </c>
      <c r="E16" s="52"/>
      <c r="F16" s="51" t="s" ph="1">
        <v>329</v>
      </c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7"/>
      <c r="Q16" s="8"/>
      <c r="R16" s="51" ph="1"/>
      <c r="S16" s="52"/>
      <c r="T16" s="51" ph="1"/>
      <c r="U16" s="52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t="s" ph="1">
        <v>316</v>
      </c>
      <c r="AI16" s="52"/>
      <c r="AJ16" ph="1"/>
      <c r="AL16" ph="1"/>
    </row>
    <row r="17" spans="1:38" ht="115.5" customHeight="1" thickBot="1" x14ac:dyDescent="0.35">
      <c r="A17" s="61"/>
      <c r="B17" s="39">
        <v>1</v>
      </c>
      <c r="C17" s="40">
        <v>16</v>
      </c>
      <c r="D17" s="39">
        <v>1</v>
      </c>
      <c r="E17" s="40">
        <v>6</v>
      </c>
      <c r="F17" s="39">
        <v>3</v>
      </c>
      <c r="G17" s="40">
        <v>10</v>
      </c>
      <c r="H17" s="39"/>
      <c r="I17" s="40"/>
      <c r="J17" s="39"/>
      <c r="K17" s="40"/>
      <c r="L17" s="39"/>
      <c r="M17" s="40"/>
      <c r="N17" s="39"/>
      <c r="O17" s="40"/>
      <c r="P17" s="7"/>
      <c r="Q17" s="8"/>
      <c r="R17" s="39"/>
      <c r="S17" s="40"/>
      <c r="T17" s="39"/>
      <c r="U17" s="40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>
        <v>6</v>
      </c>
      <c r="AI17" s="40">
        <v>6</v>
      </c>
    </row>
    <row r="18" spans="1:38" ht="115.5" customHeight="1" thickTop="1" x14ac:dyDescent="1.1499999999999999">
      <c r="A18" s="61">
        <v>6</v>
      </c>
      <c r="B18" s="51" t="s" ph="1">
        <v>330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7"/>
      <c r="Q18" s="8"/>
      <c r="R18" s="51" ph="1"/>
      <c r="S18" s="52"/>
      <c r="T18" s="51" ph="1"/>
      <c r="U18" s="52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t="s" ph="1">
        <v>317</v>
      </c>
      <c r="AI18" s="52"/>
      <c r="AJ18" ph="1"/>
      <c r="AL18" ph="1"/>
    </row>
    <row r="19" spans="1:38" ht="115.5" customHeight="1" thickBot="1" x14ac:dyDescent="0.35">
      <c r="A19" s="61"/>
      <c r="B19" s="39">
        <v>3</v>
      </c>
      <c r="C19" s="40">
        <v>13</v>
      </c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7"/>
      <c r="Q19" s="8"/>
      <c r="R19" s="39"/>
      <c r="S19" s="40"/>
      <c r="T19" s="39"/>
      <c r="U19" s="40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>
        <v>5</v>
      </c>
      <c r="AI19" s="40">
        <v>32</v>
      </c>
    </row>
    <row r="20" spans="1:38" ht="115.5" customHeight="1" thickTop="1" x14ac:dyDescent="1.1499999999999999">
      <c r="A20" s="61">
        <v>7</v>
      </c>
      <c r="B20" s="51" t="s" ph="1">
        <v>278</v>
      </c>
      <c r="C20" s="52"/>
      <c r="D20" s="51" t="s" ph="1">
        <v>331</v>
      </c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7"/>
      <c r="Q20" s="8"/>
      <c r="R20" s="51" ph="1"/>
      <c r="S20" s="52"/>
      <c r="T20" s="51" ph="1"/>
      <c r="U20" s="52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t="s" ph="1">
        <v>314</v>
      </c>
      <c r="AI20" s="52"/>
      <c r="AJ20" ph="1"/>
      <c r="AL20" ph="1"/>
    </row>
    <row r="21" spans="1:38" ht="115.5" customHeight="1" thickBot="1" x14ac:dyDescent="0.35">
      <c r="A21" s="61"/>
      <c r="B21" s="39">
        <v>3</v>
      </c>
      <c r="C21" s="40">
        <v>9</v>
      </c>
      <c r="D21" s="39"/>
      <c r="E21" s="40">
        <v>1</v>
      </c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7"/>
      <c r="Q21" s="8"/>
      <c r="R21" s="39"/>
      <c r="S21" s="40"/>
      <c r="T21" s="39"/>
      <c r="U21" s="40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>
        <v>8</v>
      </c>
      <c r="AI21" s="40">
        <v>1</v>
      </c>
    </row>
    <row r="22" spans="1:38" ht="115.5" customHeight="1" thickTop="1" x14ac:dyDescent="1.1499999999999999">
      <c r="A22" s="61">
        <v>8</v>
      </c>
      <c r="B22" s="51" t="s" ph="1">
        <v>332</v>
      </c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7"/>
      <c r="Q22" s="8"/>
      <c r="R22" s="51" ph="1"/>
      <c r="S22" s="52"/>
      <c r="T22" s="51" ph="1"/>
      <c r="U22" s="52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t="s" ph="1">
        <v>318</v>
      </c>
      <c r="AI22" s="52"/>
      <c r="AJ22" ph="1"/>
      <c r="AL22" ph="1"/>
    </row>
    <row r="23" spans="1:38" ht="115.5" customHeight="1" thickBot="1" x14ac:dyDescent="0.35">
      <c r="A23" s="61"/>
      <c r="B23" s="39">
        <v>2</v>
      </c>
      <c r="C23" s="40">
        <v>10</v>
      </c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7"/>
      <c r="Q23" s="8"/>
      <c r="R23" s="39"/>
      <c r="S23" s="40"/>
      <c r="T23" s="39"/>
      <c r="U23" s="40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>
        <v>4</v>
      </c>
      <c r="AI23" s="40"/>
    </row>
    <row r="24" spans="1:38" ht="115.5" customHeight="1" thickTop="1" x14ac:dyDescent="1.1499999999999999">
      <c r="A24" s="61">
        <v>9</v>
      </c>
      <c r="B24" s="51" t="s" ph="1">
        <v>333</v>
      </c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7"/>
      <c r="Q24" s="8"/>
      <c r="R24" s="51" ph="1"/>
      <c r="S24" s="52"/>
      <c r="T24" s="51" ph="1"/>
      <c r="U24" s="52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ph="1"/>
      <c r="AL24" ph="1"/>
    </row>
    <row r="25" spans="1:38" ht="115.5" customHeight="1" thickBot="1" x14ac:dyDescent="0.35">
      <c r="A25" s="61"/>
      <c r="B25" s="39">
        <v>8</v>
      </c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7"/>
      <c r="Q25" s="8"/>
      <c r="R25" s="39"/>
      <c r="S25" s="40"/>
      <c r="T25" s="39"/>
      <c r="U25" s="40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</row>
    <row r="26" spans="1:38" ht="115.5" customHeight="1" thickTop="1" x14ac:dyDescent="1.1499999999999999">
      <c r="A26" s="61">
        <v>10</v>
      </c>
      <c r="B26" s="51" t="s" ph="1">
        <v>334</v>
      </c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7"/>
      <c r="Q26" s="8"/>
      <c r="R26" s="51" ph="1"/>
      <c r="S26" s="52"/>
      <c r="T26" s="51" ph="1"/>
      <c r="U26" s="52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t="s" ph="1">
        <v>319</v>
      </c>
      <c r="AI26" s="52"/>
      <c r="AJ26" ph="1"/>
      <c r="AL26" ph="1"/>
    </row>
    <row r="27" spans="1:38" ht="115.5" customHeight="1" thickBot="1" x14ac:dyDescent="0.35">
      <c r="A27" s="61"/>
      <c r="B27" s="39">
        <v>5</v>
      </c>
      <c r="C27" s="40">
        <v>6</v>
      </c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7"/>
      <c r="Q27" s="8"/>
      <c r="R27" s="39"/>
      <c r="S27" s="40"/>
      <c r="T27" s="39"/>
      <c r="U27" s="40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</row>
    <row r="28" spans="1:38" ht="115.5" customHeight="1" thickTop="1" x14ac:dyDescent="1.1499999999999999">
      <c r="A28" s="61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7"/>
      <c r="Q28" s="8"/>
      <c r="R28" s="51" ph="1"/>
      <c r="S28" s="52"/>
      <c r="T28" s="51" ph="1"/>
      <c r="U28" s="52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ph="1"/>
      <c r="AL28" ph="1"/>
    </row>
    <row r="29" spans="1:38" ht="115.5" customHeight="1" thickBot="1" x14ac:dyDescent="0.35">
      <c r="A29" s="61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7"/>
      <c r="Q29" s="8"/>
      <c r="R29" s="39"/>
      <c r="S29" s="40"/>
      <c r="T29" s="39"/>
      <c r="U29" s="40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</row>
    <row r="30" spans="1:38" ht="115.5" customHeight="1" thickTop="1" x14ac:dyDescent="1.1499999999999999">
      <c r="A30" s="61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7"/>
      <c r="Q30" s="8"/>
      <c r="R30" s="51" ph="1"/>
      <c r="S30" s="52"/>
      <c r="T30" s="51" ph="1"/>
      <c r="U30" s="52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ph="1"/>
      <c r="AL30" ph="1"/>
    </row>
    <row r="31" spans="1:38" ht="115.5" customHeight="1" thickBot="1" x14ac:dyDescent="0.35">
      <c r="A31" s="61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7"/>
      <c r="Q31" s="8"/>
      <c r="R31" s="39"/>
      <c r="S31" s="40"/>
      <c r="T31" s="39"/>
      <c r="U31" s="40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</row>
    <row r="32" spans="1:38" ht="115.5" customHeight="1" thickTop="1" x14ac:dyDescent="1.1499999999999999">
      <c r="A32" s="61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7"/>
      <c r="Q32" s="8"/>
      <c r="R32" s="51" ph="1"/>
      <c r="S32" s="52"/>
      <c r="T32" s="51" ph="1"/>
      <c r="U32" s="52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ph="1"/>
      <c r="AL32" ph="1"/>
    </row>
    <row r="33" spans="1:38" ht="115.5" customHeight="1" thickBot="1" x14ac:dyDescent="0.35">
      <c r="A33" s="61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7"/>
      <c r="Q33" s="8"/>
      <c r="R33" s="39"/>
      <c r="S33" s="40"/>
      <c r="T33" s="39"/>
      <c r="U33" s="40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</row>
    <row r="34" spans="1:38" ht="115.5" customHeight="1" thickTop="1" x14ac:dyDescent="1.1499999999999999">
      <c r="A34" s="61">
        <v>14</v>
      </c>
      <c r="B34" s="51" t="s" ph="1">
        <v>346</v>
      </c>
      <c r="C34" s="52"/>
      <c r="D34" s="51" t="s" ph="1">
        <v>347</v>
      </c>
      <c r="E34" s="52"/>
      <c r="F34" s="51" t="s" ph="1">
        <v>348</v>
      </c>
      <c r="G34" s="52"/>
      <c r="H34" s="51" t="s" ph="1">
        <v>349</v>
      </c>
      <c r="I34" s="52"/>
      <c r="J34" s="51" ph="1"/>
      <c r="K34" s="52"/>
      <c r="L34" s="51" ph="1"/>
      <c r="M34" s="52"/>
      <c r="N34" s="51" ph="1"/>
      <c r="O34" s="52"/>
      <c r="P34" s="7"/>
      <c r="Q34" s="8"/>
      <c r="R34" s="51" ph="1"/>
      <c r="S34" s="52"/>
      <c r="T34" s="51" ph="1"/>
      <c r="U34" s="52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ph="1"/>
      <c r="AL34" ph="1"/>
    </row>
    <row r="35" spans="1:38" ht="115.5" customHeight="1" thickBot="1" x14ac:dyDescent="0.35">
      <c r="A35" s="61"/>
      <c r="B35" s="39">
        <v>6</v>
      </c>
      <c r="C35" s="40">
        <v>15</v>
      </c>
      <c r="D35" s="39">
        <v>1</v>
      </c>
      <c r="E35" s="40"/>
      <c r="F35" s="39"/>
      <c r="G35" s="40">
        <v>14</v>
      </c>
      <c r="H35" s="39"/>
      <c r="I35" s="40">
        <v>9</v>
      </c>
      <c r="J35" s="39"/>
      <c r="K35" s="40"/>
      <c r="L35" s="39"/>
      <c r="M35" s="40"/>
      <c r="N35" s="39"/>
      <c r="O35" s="40"/>
      <c r="P35" s="7"/>
      <c r="Q35" s="8"/>
      <c r="R35" s="39"/>
      <c r="S35" s="40"/>
      <c r="T35" s="39"/>
      <c r="U35" s="40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</row>
    <row r="36" spans="1:38" ht="115.5" customHeight="1" thickTop="1" x14ac:dyDescent="1.1499999999999999">
      <c r="A36" s="61">
        <v>15</v>
      </c>
      <c r="B36" s="51" t="s" ph="1">
        <v>343</v>
      </c>
      <c r="C36" s="52"/>
      <c r="D36" s="51" t="s" ph="1">
        <v>344</v>
      </c>
      <c r="E36" s="52"/>
      <c r="F36" s="51" t="s" ph="1">
        <v>345</v>
      </c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7"/>
      <c r="Q36" s="8"/>
      <c r="R36" s="51" ph="1"/>
      <c r="S36" s="52"/>
      <c r="T36" s="51" ph="1"/>
      <c r="U36" s="52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ph="1"/>
      <c r="AL36" ph="1"/>
    </row>
    <row r="37" spans="1:38" ht="115.5" customHeight="1" thickBot="1" x14ac:dyDescent="0.35">
      <c r="A37" s="61"/>
      <c r="B37" s="39">
        <v>3</v>
      </c>
      <c r="C37" s="40">
        <v>12</v>
      </c>
      <c r="D37" s="39"/>
      <c r="E37" s="40">
        <v>1</v>
      </c>
      <c r="F37" s="39"/>
      <c r="G37" s="40">
        <v>1</v>
      </c>
      <c r="H37" s="39"/>
      <c r="I37" s="40"/>
      <c r="J37" s="39"/>
      <c r="K37" s="40"/>
      <c r="L37" s="39"/>
      <c r="M37" s="40"/>
      <c r="N37" s="39"/>
      <c r="O37" s="40"/>
      <c r="P37" s="7"/>
      <c r="Q37" s="8"/>
      <c r="R37" s="39"/>
      <c r="S37" s="40"/>
      <c r="T37" s="39"/>
      <c r="U37" s="40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</row>
    <row r="38" spans="1:38" ht="115.5" customHeight="1" thickTop="1" x14ac:dyDescent="1.1499999999999999">
      <c r="A38" s="61">
        <v>16</v>
      </c>
      <c r="B38" s="51" t="s" ph="1">
        <v>338</v>
      </c>
      <c r="C38" s="52"/>
      <c r="D38" s="51" t="s" ph="1">
        <v>339</v>
      </c>
      <c r="E38" s="52"/>
      <c r="F38" s="51" t="s" ph="1">
        <v>340</v>
      </c>
      <c r="G38" s="52"/>
      <c r="H38" s="51" t="s" ph="1">
        <v>341</v>
      </c>
      <c r="I38" s="52"/>
      <c r="J38" s="51" ph="1"/>
      <c r="K38" s="52"/>
      <c r="L38" s="51" ph="1"/>
      <c r="M38" s="52"/>
      <c r="N38" s="51" ph="1"/>
      <c r="O38" s="52"/>
      <c r="P38" s="7"/>
      <c r="Q38" s="8"/>
      <c r="R38" s="51" ph="1"/>
      <c r="S38" s="52"/>
      <c r="T38" s="51" ph="1"/>
      <c r="U38" s="52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ph="1"/>
      <c r="AL38" ph="1"/>
    </row>
    <row r="39" spans="1:38" ht="115.5" customHeight="1" thickBot="1" x14ac:dyDescent="0.35">
      <c r="A39" s="61"/>
      <c r="B39" s="39"/>
      <c r="C39" s="40">
        <v>12</v>
      </c>
      <c r="D39" s="39"/>
      <c r="E39" s="40">
        <v>2</v>
      </c>
      <c r="F39" s="39"/>
      <c r="G39" s="40">
        <v>2</v>
      </c>
      <c r="H39" s="39">
        <v>1</v>
      </c>
      <c r="I39" s="40"/>
      <c r="J39" s="39"/>
      <c r="K39" s="40"/>
      <c r="L39" s="39"/>
      <c r="M39" s="40"/>
      <c r="N39" s="39"/>
      <c r="O39" s="40"/>
      <c r="P39" s="7"/>
      <c r="Q39" s="8"/>
      <c r="R39" s="39"/>
      <c r="S39" s="40"/>
      <c r="T39" s="39"/>
      <c r="U39" s="40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</row>
    <row r="40" spans="1:38" ht="115.5" customHeight="1" thickTop="1" x14ac:dyDescent="1.1499999999999999">
      <c r="A40" s="61">
        <v>17</v>
      </c>
      <c r="B40" s="51" t="s" ph="1">
        <v>337</v>
      </c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7"/>
      <c r="Q40" s="8"/>
      <c r="R40" s="51" ph="1"/>
      <c r="S40" s="52"/>
      <c r="T40" s="51" ph="1"/>
      <c r="U40" s="52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ph="1"/>
      <c r="AL40" ph="1"/>
    </row>
    <row r="41" spans="1:38" ht="115.5" customHeight="1" thickBot="1" x14ac:dyDescent="0.35">
      <c r="A41" s="61"/>
      <c r="B41" s="39">
        <v>2</v>
      </c>
      <c r="C41" s="40">
        <v>6</v>
      </c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7"/>
      <c r="Q41" s="8"/>
      <c r="R41" s="39"/>
      <c r="S41" s="40"/>
      <c r="T41" s="39"/>
      <c r="U41" s="40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</row>
    <row r="42" spans="1:38" ht="115.5" customHeight="1" thickTop="1" x14ac:dyDescent="1.1499999999999999">
      <c r="A42" s="61">
        <v>18</v>
      </c>
      <c r="B42" s="51" t="s" ph="1">
        <v>335</v>
      </c>
      <c r="C42" s="52"/>
      <c r="D42" s="51" t="s" ph="1">
        <v>336</v>
      </c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7"/>
      <c r="Q42" s="8"/>
      <c r="R42" s="51" ph="1"/>
      <c r="S42" s="52"/>
      <c r="T42" s="51" ph="1"/>
      <c r="U42" s="52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ph="1"/>
      <c r="AL42" ph="1"/>
    </row>
    <row r="43" spans="1:38" ht="115.5" customHeight="1" thickBot="1" x14ac:dyDescent="0.35">
      <c r="A43" s="61"/>
      <c r="B43" s="39">
        <v>1</v>
      </c>
      <c r="C43" s="40">
        <v>14</v>
      </c>
      <c r="D43" s="39"/>
      <c r="E43" s="40">
        <v>11</v>
      </c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7"/>
      <c r="Q43" s="8"/>
      <c r="R43" s="39"/>
      <c r="S43" s="40"/>
      <c r="T43" s="39"/>
      <c r="U43" s="40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</row>
    <row r="44" spans="1:38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7"/>
      <c r="Q44" s="33"/>
      <c r="R44" s="31">
        <v>9</v>
      </c>
      <c r="S44" s="32"/>
      <c r="T44" s="31">
        <v>8</v>
      </c>
      <c r="U44" s="32"/>
      <c r="V44" s="31">
        <v>7</v>
      </c>
      <c r="W44" s="32"/>
      <c r="X44" s="31">
        <v>6</v>
      </c>
      <c r="Y44" s="30"/>
      <c r="Z44" s="31">
        <v>5</v>
      </c>
      <c r="AA44" s="32"/>
      <c r="AB44" s="31">
        <v>4</v>
      </c>
      <c r="AC44" s="32"/>
      <c r="AD44" s="31">
        <v>3</v>
      </c>
      <c r="AE44" s="30"/>
      <c r="AF44" s="31">
        <v>2</v>
      </c>
      <c r="AG44" s="32"/>
      <c r="AH44" s="31">
        <v>1</v>
      </c>
      <c r="AI44" s="32"/>
    </row>
    <row r="45" spans="1:38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1"/>
      <c r="Q45" s="11"/>
      <c r="R45" s="11"/>
      <c r="S45" s="11"/>
      <c r="T45" s="11"/>
      <c r="U45" s="11"/>
      <c r="V45" s="10"/>
      <c r="W45" s="58"/>
      <c r="X45" s="58"/>
      <c r="Y45" s="58"/>
      <c r="Z45" s="11"/>
      <c r="AA45" s="10"/>
      <c r="AB45" s="11"/>
      <c r="AC45" s="11"/>
      <c r="AD45" s="9"/>
      <c r="AE45" s="9"/>
      <c r="AF45" s="9"/>
      <c r="AG45" s="9"/>
      <c r="AH45" s="9"/>
      <c r="AI45" s="12"/>
    </row>
    <row r="46" spans="1:38" ht="17.25" thickTop="1" x14ac:dyDescent="0.3"/>
  </sheetData>
  <mergeCells count="37">
    <mergeCell ref="A38:A39"/>
    <mergeCell ref="A40:A41"/>
    <mergeCell ref="A42:A43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AF6:AG6"/>
    <mergeCell ref="AH6:AI6"/>
    <mergeCell ref="W45:Y45"/>
    <mergeCell ref="T6:U6"/>
    <mergeCell ref="V6:W6"/>
    <mergeCell ref="X6:Y6"/>
    <mergeCell ref="Z6:AA6"/>
    <mergeCell ref="AB6:AC6"/>
    <mergeCell ref="AD6:AE6"/>
    <mergeCell ref="R6:S6"/>
    <mergeCell ref="H4:K4"/>
    <mergeCell ref="B6:C6"/>
    <mergeCell ref="D6:E6"/>
    <mergeCell ref="F6:G6"/>
    <mergeCell ref="H6:I6"/>
    <mergeCell ref="J6:K6"/>
    <mergeCell ref="L6:M6"/>
    <mergeCell ref="N6:O6"/>
    <mergeCell ref="P6:Q6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3:AM46"/>
  <sheetViews>
    <sheetView view="pageBreakPreview" topLeftCell="M16" zoomScale="25" zoomScaleNormal="55" zoomScaleSheetLayoutView="25" workbookViewId="0">
      <selection activeCell="AU44" sqref="AU44"/>
    </sheetView>
  </sheetViews>
  <sheetFormatPr defaultRowHeight="16.5" x14ac:dyDescent="0.3"/>
  <cols>
    <col min="1" max="1" width="27.125" customWidth="1"/>
    <col min="2" max="39" width="32.125" customWidth="1"/>
  </cols>
  <sheetData>
    <row r="3" spans="1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60">
        <f ca="1">(TODAY())</f>
        <v>46206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1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1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1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1:39" ht="115.5" customHeight="1" thickTop="1" x14ac:dyDescent="1.1499999999999999">
      <c r="A8" s="61">
        <v>1</v>
      </c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1:39" ht="115.5" customHeight="1" thickBot="1" x14ac:dyDescent="0.35">
      <c r="A9" s="61"/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1:39" ht="115.5" customHeight="1" thickTop="1" x14ac:dyDescent="1.1499999999999999">
      <c r="A10" s="61">
        <v>2</v>
      </c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1:39" ht="115.5" customHeight="1" thickBot="1" x14ac:dyDescent="0.35">
      <c r="A11" s="61"/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1:39" ht="115.5" customHeight="1" thickTop="1" x14ac:dyDescent="1.1499999999999999">
      <c r="A12" s="61">
        <v>3</v>
      </c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1:39" ht="115.5" customHeight="1" thickBot="1" x14ac:dyDescent="0.35">
      <c r="A13" s="61"/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1:39" ht="115.5" customHeight="1" thickTop="1" x14ac:dyDescent="1.1499999999999999">
      <c r="A14" s="61">
        <v>4</v>
      </c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1:39" ht="115.5" customHeight="1" thickBot="1" x14ac:dyDescent="0.35">
      <c r="A15" s="61"/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1:39" ht="115.5" customHeight="1" thickTop="1" x14ac:dyDescent="1.1499999999999999">
      <c r="A16" s="61">
        <v>5</v>
      </c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1:39" ht="115.5" customHeight="1" thickBot="1" x14ac:dyDescent="0.35">
      <c r="A17" s="61"/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1:39" ht="115.5" customHeight="1" thickTop="1" x14ac:dyDescent="1.1499999999999999">
      <c r="A18" s="61">
        <v>6</v>
      </c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1:39" ht="115.5" customHeight="1" thickBot="1" x14ac:dyDescent="0.35">
      <c r="A19" s="61"/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1:39" ht="115.5" customHeight="1" thickTop="1" x14ac:dyDescent="1.1499999999999999">
      <c r="A20" s="61">
        <v>7</v>
      </c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1:39" ht="115.5" customHeight="1" thickBot="1" x14ac:dyDescent="0.35">
      <c r="A21" s="61"/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1:39" ht="115.5" customHeight="1" thickTop="1" x14ac:dyDescent="1.1499999999999999">
      <c r="A22" s="61">
        <v>8</v>
      </c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1:39" ht="115.5" customHeight="1" thickBot="1" x14ac:dyDescent="0.35">
      <c r="A23" s="61"/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1:39" ht="115.5" customHeight="1" thickTop="1" x14ac:dyDescent="1.1499999999999999">
      <c r="A24" s="61">
        <v>9</v>
      </c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1:39" ht="115.5" customHeight="1" thickBot="1" x14ac:dyDescent="0.35">
      <c r="A25" s="61"/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1:39" ht="115.5" customHeight="1" thickTop="1" x14ac:dyDescent="1.1499999999999999">
      <c r="A26" s="61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1:39" ht="115.5" customHeight="1" thickBot="1" x14ac:dyDescent="0.35">
      <c r="A27" s="61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1:39" ht="115.5" customHeight="1" thickTop="1" x14ac:dyDescent="1.1499999999999999">
      <c r="A28" s="61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1:39" ht="115.5" customHeight="1" thickBot="1" x14ac:dyDescent="0.35">
      <c r="A29" s="61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1:39" ht="115.5" customHeight="1" thickTop="1" x14ac:dyDescent="1.1499999999999999">
      <c r="A30" s="61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1:39" ht="115.5" customHeight="1" thickBot="1" x14ac:dyDescent="0.35">
      <c r="A31" s="61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1:39" ht="115.5" customHeight="1" thickTop="1" x14ac:dyDescent="1.1499999999999999">
      <c r="A32" s="61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1:39" ht="115.5" customHeight="1" thickBot="1" x14ac:dyDescent="0.35">
      <c r="A33" s="61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1:39" ht="115.5" customHeight="1" thickTop="1" x14ac:dyDescent="1.1499999999999999">
      <c r="A34" s="61">
        <v>14</v>
      </c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1:39" ht="115.5" customHeight="1" thickBot="1" x14ac:dyDescent="0.35">
      <c r="A35" s="61"/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1:39" ht="115.5" customHeight="1" thickTop="1" x14ac:dyDescent="1.1499999999999999">
      <c r="A36" s="61">
        <v>15</v>
      </c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1:39" ht="115.5" customHeight="1" thickBot="1" x14ac:dyDescent="0.35">
      <c r="A37" s="61"/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1:39" ht="115.5" customHeight="1" thickTop="1" x14ac:dyDescent="1.1499999999999999">
      <c r="A38" s="61">
        <v>16</v>
      </c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1:39" ht="115.5" customHeight="1" thickBot="1" x14ac:dyDescent="0.35">
      <c r="A39" s="61"/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1:39" ht="115.5" customHeight="1" thickTop="1" x14ac:dyDescent="1.1499999999999999">
      <c r="A40" s="61">
        <v>17</v>
      </c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1:39" ht="115.5" customHeight="1" thickBot="1" x14ac:dyDescent="0.35">
      <c r="A41" s="61"/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1:39" ht="115.5" customHeight="1" thickTop="1" x14ac:dyDescent="1.1499999999999999">
      <c r="A42" s="61">
        <v>18</v>
      </c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1:39" ht="115.5" customHeight="1" thickBot="1" x14ac:dyDescent="0.35">
      <c r="A43" s="61"/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1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8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1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1:39" ht="17.25" thickTop="1" x14ac:dyDescent="0.3"/>
  </sheetData>
  <mergeCells count="41">
    <mergeCell ref="A38:A39"/>
    <mergeCell ref="A40:A41"/>
    <mergeCell ref="A42:A43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AJ6:AK6"/>
    <mergeCell ref="AL6:AM6"/>
    <mergeCell ref="AA45:AC45"/>
    <mergeCell ref="B5:S5"/>
    <mergeCell ref="V5:AM5"/>
    <mergeCell ref="X6:Y6"/>
    <mergeCell ref="Z6:AA6"/>
    <mergeCell ref="AB6:AC6"/>
    <mergeCell ref="AD6:AE6"/>
    <mergeCell ref="AF6:AG6"/>
    <mergeCell ref="AH6:AI6"/>
    <mergeCell ref="L6:M6"/>
    <mergeCell ref="N6:O6"/>
    <mergeCell ref="P6:Q6"/>
    <mergeCell ref="R6:S6"/>
    <mergeCell ref="T6:U6"/>
    <mergeCell ref="V6:W6"/>
    <mergeCell ref="H4:K4"/>
    <mergeCell ref="B6:C6"/>
    <mergeCell ref="D6:E6"/>
    <mergeCell ref="F6:G6"/>
    <mergeCell ref="H6:I6"/>
    <mergeCell ref="J6:K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3:AM46"/>
  <sheetViews>
    <sheetView view="pageBreakPreview" zoomScale="25" zoomScaleNormal="55" zoomScaleSheetLayoutView="25" workbookViewId="0">
      <selection activeCell="B8" sqref="B8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60">
        <f ca="1">(TODAY())</f>
        <v>46206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t="s" ph="1">
        <v>93</v>
      </c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>
        <v>2</v>
      </c>
      <c r="C9" s="40">
        <v>10</v>
      </c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AF6:AG6"/>
    <mergeCell ref="AH6:AI6"/>
    <mergeCell ref="X6:Y6"/>
    <mergeCell ref="Z6:AA6"/>
    <mergeCell ref="AA45:AC45"/>
    <mergeCell ref="AB6:AC6"/>
    <mergeCell ref="AD6:AE6"/>
    <mergeCell ref="H4:K4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J6:AK6"/>
    <mergeCell ref="AL6:AM6"/>
    <mergeCell ref="P6:Q6"/>
    <mergeCell ref="R6:S6"/>
    <mergeCell ref="T6:U6"/>
    <mergeCell ref="V6:W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3:AM46"/>
  <sheetViews>
    <sheetView view="pageBreakPreview" zoomScale="25" zoomScaleNormal="55" zoomScaleSheetLayoutView="25" workbookViewId="0">
      <selection activeCell="V8" sqref="V8:AM43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60">
        <f ca="1">(TODAY())</f>
        <v>46206</v>
      </c>
      <c r="I4" s="60"/>
      <c r="J4" s="60"/>
      <c r="K4" s="60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AF6:AG6"/>
    <mergeCell ref="AH6:AI6"/>
    <mergeCell ref="X6:Y6"/>
    <mergeCell ref="Z6:AA6"/>
    <mergeCell ref="AA45:AC45"/>
    <mergeCell ref="AB6:AC6"/>
    <mergeCell ref="AD6:AE6"/>
    <mergeCell ref="H4:K4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J6:AK6"/>
    <mergeCell ref="AL6:AM6"/>
    <mergeCell ref="P6:Q6"/>
    <mergeCell ref="R6:S6"/>
    <mergeCell ref="T6:U6"/>
    <mergeCell ref="V6:W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3:AM46"/>
  <sheetViews>
    <sheetView view="pageBreakPreview" zoomScale="25" zoomScaleNormal="55" zoomScaleSheetLayoutView="25" workbookViewId="0">
      <selection activeCell="B6" sqref="B6:C6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230</v>
      </c>
      <c r="D4" s="36"/>
      <c r="E4" s="36"/>
      <c r="F4" s="6"/>
      <c r="G4" s="5"/>
      <c r="I4" s="38"/>
      <c r="J4" s="67">
        <f ca="1">(TODAY())</f>
        <v>46206</v>
      </c>
      <c r="K4" s="6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229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6" t="s">
        <v>148</v>
      </c>
      <c r="C6" s="57"/>
      <c r="D6" s="56" t="s">
        <v>148</v>
      </c>
      <c r="E6" s="57"/>
      <c r="F6" s="56" t="s">
        <v>150</v>
      </c>
      <c r="G6" s="57"/>
      <c r="H6" s="56" t="s">
        <v>148</v>
      </c>
      <c r="I6" s="57"/>
      <c r="J6" s="56" t="s">
        <v>148</v>
      </c>
      <c r="K6" s="57"/>
      <c r="L6" s="56" t="s">
        <v>148</v>
      </c>
      <c r="M6" s="57"/>
      <c r="N6" s="56" t="s">
        <v>150</v>
      </c>
      <c r="O6" s="57"/>
      <c r="P6" s="56" t="s">
        <v>151</v>
      </c>
      <c r="Q6" s="57"/>
      <c r="R6" s="56" t="s">
        <v>152</v>
      </c>
      <c r="S6" s="57"/>
      <c r="T6" s="59"/>
      <c r="U6" s="59"/>
      <c r="V6" s="56" t="s">
        <v>152</v>
      </c>
      <c r="W6" s="57"/>
      <c r="X6" s="56" t="s">
        <v>152</v>
      </c>
      <c r="Y6" s="57"/>
      <c r="Z6" s="56" t="s">
        <v>152</v>
      </c>
      <c r="AA6" s="57"/>
      <c r="AB6" s="56" t="s">
        <v>152</v>
      </c>
      <c r="AC6" s="57"/>
      <c r="AD6" s="56" t="s">
        <v>152</v>
      </c>
      <c r="AE6" s="57"/>
      <c r="AF6" s="56" t="s">
        <v>152</v>
      </c>
      <c r="AG6" s="57"/>
      <c r="AH6" s="56" t="s">
        <v>152</v>
      </c>
      <c r="AI6" s="57"/>
      <c r="AJ6" s="56" t="s">
        <v>149</v>
      </c>
      <c r="AK6" s="57"/>
      <c r="AL6" s="56" t="s">
        <v>149</v>
      </c>
      <c r="AM6" s="57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58"/>
      <c r="AB45" s="58"/>
      <c r="AC45" s="58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AA45:AC45"/>
    <mergeCell ref="J4:K4"/>
    <mergeCell ref="AB6:AC6"/>
    <mergeCell ref="AD6:AE6"/>
    <mergeCell ref="AF6:AG6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H6:AI6"/>
    <mergeCell ref="AJ6:AK6"/>
    <mergeCell ref="AL6:AM6"/>
    <mergeCell ref="P6:Q6"/>
    <mergeCell ref="R6:S6"/>
    <mergeCell ref="T6:U6"/>
    <mergeCell ref="V6:W6"/>
    <mergeCell ref="X6:Y6"/>
    <mergeCell ref="Z6:AA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251"/>
  <sheetViews>
    <sheetView zoomScale="115" zoomScaleNormal="115" workbookViewId="0">
      <selection activeCell="G16" sqref="G16"/>
    </sheetView>
  </sheetViews>
  <sheetFormatPr defaultRowHeight="16.5" x14ac:dyDescent="0.3"/>
  <cols>
    <col min="1" max="1" width="16" bestFit="1" customWidth="1"/>
    <col min="2" max="2" width="16" customWidth="1"/>
    <col min="3" max="3" width="11.125" bestFit="1" customWidth="1"/>
    <col min="4" max="4" width="12.75" bestFit="1" customWidth="1"/>
    <col min="6" max="6" width="11.375" bestFit="1" customWidth="1"/>
    <col min="7" max="7" width="16.625" customWidth="1"/>
    <col min="8" max="8" width="14.375" customWidth="1"/>
    <col min="9" max="9" width="12" customWidth="1"/>
    <col min="10" max="10" width="17.125" customWidth="1"/>
    <col min="11" max="11" width="15.75" customWidth="1"/>
  </cols>
  <sheetData>
    <row r="3" spans="1:11" ht="24" x14ac:dyDescent="0.3">
      <c r="A3" s="24"/>
      <c r="B3" s="24"/>
      <c r="C3" s="23"/>
      <c r="D3" s="23"/>
      <c r="E3" s="15"/>
      <c r="F3" s="15"/>
      <c r="G3" s="15"/>
      <c r="H3" s="15"/>
      <c r="I3" s="15"/>
      <c r="J3" s="24">
        <f ca="1">+셀!H4</f>
        <v>46206</v>
      </c>
      <c r="K3" s="15" t="s">
        <v>69</v>
      </c>
    </row>
    <row r="4" spans="1:11" ht="24" x14ac:dyDescent="0.3">
      <c r="A4" s="13" t="s">
        <v>70</v>
      </c>
      <c r="B4" s="13" t="s">
        <v>156</v>
      </c>
      <c r="C4" s="13" t="s">
        <v>357</v>
      </c>
      <c r="D4" s="13" t="s">
        <v>157</v>
      </c>
      <c r="E4" s="13" t="s">
        <v>158</v>
      </c>
      <c r="F4" s="13" t="s">
        <v>284</v>
      </c>
      <c r="G4" s="13" t="s">
        <v>71</v>
      </c>
      <c r="H4" s="13" t="s">
        <v>72</v>
      </c>
      <c r="I4" s="13" t="s">
        <v>73</v>
      </c>
      <c r="J4" s="13" t="s">
        <v>74</v>
      </c>
      <c r="K4" s="13" t="s">
        <v>75</v>
      </c>
    </row>
    <row r="5" spans="1:11" x14ac:dyDescent="0.3">
      <c r="A5" s="14" t="s">
        <v>355</v>
      </c>
      <c r="B5" s="14">
        <v>210</v>
      </c>
      <c r="C5" s="14">
        <v>20</v>
      </c>
      <c r="D5" s="14"/>
      <c r="E5" s="14"/>
      <c r="F5" s="14"/>
      <c r="G5" s="55">
        <f>((D5*C5)+E5)*B5+F5</f>
        <v>0</v>
      </c>
      <c r="H5" s="14"/>
      <c r="I5" s="14">
        <f>+G5+H5</f>
        <v>0</v>
      </c>
      <c r="J5" s="14"/>
      <c r="K5" s="14">
        <f>+I5-J5</f>
        <v>0</v>
      </c>
    </row>
    <row r="6" spans="1:11" x14ac:dyDescent="0.3">
      <c r="A6" s="14" t="s">
        <v>1</v>
      </c>
      <c r="B6" s="14">
        <v>120</v>
      </c>
      <c r="C6" s="14">
        <v>20</v>
      </c>
      <c r="D6" s="14"/>
      <c r="E6" s="14"/>
      <c r="F6" s="14"/>
      <c r="G6" s="55">
        <f t="shared" ref="G6:G69" si="0">((D6*C6)+E6)*B6+F6</f>
        <v>0</v>
      </c>
      <c r="H6" s="14"/>
      <c r="I6" s="14">
        <f t="shared" ref="I6:I69" si="1">+G6+H6</f>
        <v>0</v>
      </c>
      <c r="J6" s="14"/>
      <c r="K6" s="14">
        <f t="shared" ref="K6:K69" si="2">+I6-J6</f>
        <v>0</v>
      </c>
    </row>
    <row r="7" spans="1:11" x14ac:dyDescent="0.3">
      <c r="A7" s="14" t="s">
        <v>169</v>
      </c>
      <c r="B7" s="14">
        <v>80</v>
      </c>
      <c r="C7" s="14">
        <v>20</v>
      </c>
      <c r="D7" s="14"/>
      <c r="E7" s="14"/>
      <c r="F7" s="14"/>
      <c r="G7" s="55">
        <f t="shared" si="0"/>
        <v>0</v>
      </c>
      <c r="H7" s="14"/>
      <c r="I7" s="14">
        <f t="shared" si="1"/>
        <v>0</v>
      </c>
      <c r="J7" s="14"/>
      <c r="K7" s="14">
        <f t="shared" si="2"/>
        <v>0</v>
      </c>
    </row>
    <row r="8" spans="1:11" x14ac:dyDescent="0.3">
      <c r="A8" s="14" t="s">
        <v>170</v>
      </c>
      <c r="B8" s="14">
        <v>80</v>
      </c>
      <c r="C8" s="14">
        <v>20</v>
      </c>
      <c r="D8" s="14"/>
      <c r="E8" s="14"/>
      <c r="F8" s="14"/>
      <c r="G8" s="55">
        <f t="shared" si="0"/>
        <v>0</v>
      </c>
      <c r="H8" s="14"/>
      <c r="I8" s="14">
        <f t="shared" si="1"/>
        <v>0</v>
      </c>
      <c r="J8" s="14"/>
      <c r="K8" s="14">
        <f t="shared" si="2"/>
        <v>0</v>
      </c>
    </row>
    <row r="9" spans="1:11" x14ac:dyDescent="0.3">
      <c r="A9" s="14" t="s">
        <v>2</v>
      </c>
      <c r="B9" s="14">
        <v>190</v>
      </c>
      <c r="C9" s="14">
        <v>20</v>
      </c>
      <c r="D9" s="14"/>
      <c r="E9" s="14"/>
      <c r="F9" s="14"/>
      <c r="G9" s="55">
        <f t="shared" si="0"/>
        <v>0</v>
      </c>
      <c r="H9" s="14"/>
      <c r="I9" s="14">
        <f t="shared" si="1"/>
        <v>0</v>
      </c>
      <c r="J9" s="14"/>
      <c r="K9" s="14">
        <f t="shared" si="2"/>
        <v>0</v>
      </c>
    </row>
    <row r="10" spans="1:11" x14ac:dyDescent="0.3">
      <c r="A10" s="14" t="s">
        <v>3</v>
      </c>
      <c r="B10" s="14">
        <v>190</v>
      </c>
      <c r="C10" s="14">
        <v>20</v>
      </c>
      <c r="D10" s="14"/>
      <c r="E10" s="14"/>
      <c r="F10" s="14"/>
      <c r="G10" s="55">
        <f t="shared" si="0"/>
        <v>0</v>
      </c>
      <c r="H10" s="14"/>
      <c r="I10" s="14">
        <f t="shared" si="1"/>
        <v>0</v>
      </c>
      <c r="J10" s="14"/>
      <c r="K10" s="14">
        <f t="shared" si="2"/>
        <v>0</v>
      </c>
    </row>
    <row r="11" spans="1:11" x14ac:dyDescent="0.3">
      <c r="A11" s="14" t="s">
        <v>4</v>
      </c>
      <c r="B11" s="14">
        <v>210</v>
      </c>
      <c r="C11" s="14">
        <v>20</v>
      </c>
      <c r="D11" s="14"/>
      <c r="E11" s="14"/>
      <c r="F11" s="14"/>
      <c r="G11" s="55">
        <f t="shared" si="0"/>
        <v>0</v>
      </c>
      <c r="H11" s="14"/>
      <c r="I11" s="14">
        <f t="shared" si="1"/>
        <v>0</v>
      </c>
      <c r="J11" s="14"/>
      <c r="K11" s="14">
        <f t="shared" si="2"/>
        <v>0</v>
      </c>
    </row>
    <row r="12" spans="1:11" x14ac:dyDescent="0.3">
      <c r="A12" s="14" t="s">
        <v>5</v>
      </c>
      <c r="B12" s="14">
        <v>120</v>
      </c>
      <c r="C12" s="14">
        <v>20</v>
      </c>
      <c r="D12" s="14"/>
      <c r="E12" s="14"/>
      <c r="F12" s="14"/>
      <c r="G12" s="55">
        <f t="shared" si="0"/>
        <v>0</v>
      </c>
      <c r="H12" s="14"/>
      <c r="I12" s="14">
        <f t="shared" si="1"/>
        <v>0</v>
      </c>
      <c r="J12" s="14"/>
      <c r="K12" s="14">
        <f t="shared" si="2"/>
        <v>0</v>
      </c>
    </row>
    <row r="13" spans="1:11" x14ac:dyDescent="0.3">
      <c r="A13" s="14" t="s">
        <v>6</v>
      </c>
      <c r="B13" s="14">
        <v>250</v>
      </c>
      <c r="C13" s="14">
        <v>20</v>
      </c>
      <c r="D13" s="14"/>
      <c r="E13" s="14"/>
      <c r="F13" s="14"/>
      <c r="G13" s="55">
        <f t="shared" si="0"/>
        <v>0</v>
      </c>
      <c r="H13" s="14"/>
      <c r="I13" s="14">
        <f t="shared" si="1"/>
        <v>0</v>
      </c>
      <c r="J13" s="14"/>
      <c r="K13" s="14">
        <f t="shared" si="2"/>
        <v>0</v>
      </c>
    </row>
    <row r="14" spans="1:11" x14ac:dyDescent="0.3">
      <c r="A14" s="14" t="s">
        <v>7</v>
      </c>
      <c r="B14" s="14">
        <v>150</v>
      </c>
      <c r="C14" s="14">
        <v>20</v>
      </c>
      <c r="D14" s="14"/>
      <c r="E14" s="14"/>
      <c r="F14" s="14"/>
      <c r="G14" s="55">
        <f t="shared" si="0"/>
        <v>0</v>
      </c>
      <c r="H14" s="14"/>
      <c r="I14" s="14">
        <f t="shared" si="1"/>
        <v>0</v>
      </c>
      <c r="J14" s="14"/>
      <c r="K14" s="14">
        <f t="shared" si="2"/>
        <v>0</v>
      </c>
    </row>
    <row r="15" spans="1:11" x14ac:dyDescent="0.3">
      <c r="A15" s="14" t="s">
        <v>8</v>
      </c>
      <c r="B15" s="14">
        <v>110</v>
      </c>
      <c r="C15" s="14">
        <v>20</v>
      </c>
      <c r="D15" s="14"/>
      <c r="E15" s="14"/>
      <c r="F15" s="14"/>
      <c r="G15" s="55">
        <f t="shared" si="0"/>
        <v>0</v>
      </c>
      <c r="H15" s="14"/>
      <c r="I15" s="14">
        <f t="shared" si="1"/>
        <v>0</v>
      </c>
      <c r="J15" s="14"/>
      <c r="K15" s="14">
        <f t="shared" si="2"/>
        <v>0</v>
      </c>
    </row>
    <row r="16" spans="1:11" x14ac:dyDescent="0.3">
      <c r="A16" s="14" t="s">
        <v>9</v>
      </c>
      <c r="B16" s="14">
        <v>96</v>
      </c>
      <c r="C16" s="14">
        <v>20</v>
      </c>
      <c r="D16" s="14"/>
      <c r="E16" s="14"/>
      <c r="F16" s="14"/>
      <c r="G16" s="55">
        <f t="shared" si="0"/>
        <v>0</v>
      </c>
      <c r="H16" s="14"/>
      <c r="I16" s="14">
        <f t="shared" si="1"/>
        <v>0</v>
      </c>
      <c r="J16" s="14"/>
      <c r="K16" s="14">
        <f t="shared" si="2"/>
        <v>0</v>
      </c>
    </row>
    <row r="17" spans="1:11" x14ac:dyDescent="0.3">
      <c r="A17" s="14" t="s">
        <v>10</v>
      </c>
      <c r="B17" s="14">
        <v>250</v>
      </c>
      <c r="C17" s="14">
        <v>20</v>
      </c>
      <c r="D17" s="14"/>
      <c r="E17" s="14"/>
      <c r="F17" s="14"/>
      <c r="G17" s="55">
        <f t="shared" si="0"/>
        <v>0</v>
      </c>
      <c r="H17" s="14"/>
      <c r="I17" s="14">
        <f t="shared" si="1"/>
        <v>0</v>
      </c>
      <c r="J17" s="14"/>
      <c r="K17" s="14">
        <f t="shared" si="2"/>
        <v>0</v>
      </c>
    </row>
    <row r="18" spans="1:11" x14ac:dyDescent="0.3">
      <c r="A18" s="14" t="s">
        <v>11</v>
      </c>
      <c r="B18" s="14">
        <v>150</v>
      </c>
      <c r="C18" s="14">
        <v>20</v>
      </c>
      <c r="D18" s="14"/>
      <c r="E18" s="14"/>
      <c r="F18" s="14"/>
      <c r="G18" s="55">
        <f t="shared" si="0"/>
        <v>0</v>
      </c>
      <c r="H18" s="14"/>
      <c r="I18" s="14">
        <f t="shared" si="1"/>
        <v>0</v>
      </c>
      <c r="J18" s="14"/>
      <c r="K18" s="14">
        <f t="shared" si="2"/>
        <v>0</v>
      </c>
    </row>
    <row r="19" spans="1:11" x14ac:dyDescent="0.3">
      <c r="A19" s="14" t="s">
        <v>12</v>
      </c>
      <c r="B19" s="14">
        <v>190</v>
      </c>
      <c r="C19" s="14">
        <v>20</v>
      </c>
      <c r="D19" s="14"/>
      <c r="E19" s="14"/>
      <c r="F19" s="14"/>
      <c r="G19" s="55">
        <f t="shared" si="0"/>
        <v>0</v>
      </c>
      <c r="H19" s="14"/>
      <c r="I19" s="14">
        <f t="shared" si="1"/>
        <v>0</v>
      </c>
      <c r="J19" s="14"/>
      <c r="K19" s="14">
        <f t="shared" si="2"/>
        <v>0</v>
      </c>
    </row>
    <row r="20" spans="1:11" x14ac:dyDescent="0.3">
      <c r="A20" s="14" t="s">
        <v>13</v>
      </c>
      <c r="B20" s="14">
        <v>130</v>
      </c>
      <c r="C20" s="14">
        <v>20</v>
      </c>
      <c r="D20" s="14"/>
      <c r="E20" s="14"/>
      <c r="F20" s="14"/>
      <c r="G20" s="55">
        <f t="shared" si="0"/>
        <v>0</v>
      </c>
      <c r="H20" s="14"/>
      <c r="I20" s="14">
        <f t="shared" si="1"/>
        <v>0</v>
      </c>
      <c r="J20" s="14"/>
      <c r="K20" s="14">
        <f t="shared" si="2"/>
        <v>0</v>
      </c>
    </row>
    <row r="21" spans="1:11" x14ac:dyDescent="0.3">
      <c r="A21" s="14" t="s">
        <v>14</v>
      </c>
      <c r="B21" s="14">
        <v>150</v>
      </c>
      <c r="C21" s="14">
        <v>20</v>
      </c>
      <c r="D21" s="14"/>
      <c r="E21" s="14"/>
      <c r="F21" s="14"/>
      <c r="G21" s="55">
        <f t="shared" si="0"/>
        <v>0</v>
      </c>
      <c r="H21" s="14"/>
      <c r="I21" s="14">
        <f t="shared" si="1"/>
        <v>0</v>
      </c>
      <c r="J21" s="14"/>
      <c r="K21" s="14">
        <f t="shared" si="2"/>
        <v>0</v>
      </c>
    </row>
    <row r="22" spans="1:11" x14ac:dyDescent="0.3">
      <c r="A22" s="14" t="s">
        <v>15</v>
      </c>
      <c r="B22" s="14">
        <v>260</v>
      </c>
      <c r="C22" s="14">
        <v>20</v>
      </c>
      <c r="D22" s="14"/>
      <c r="E22" s="14"/>
      <c r="F22" s="14"/>
      <c r="G22" s="55">
        <f t="shared" si="0"/>
        <v>0</v>
      </c>
      <c r="H22" s="14"/>
      <c r="I22" s="14">
        <f t="shared" si="1"/>
        <v>0</v>
      </c>
      <c r="J22" s="14"/>
      <c r="K22" s="14">
        <f t="shared" si="2"/>
        <v>0</v>
      </c>
    </row>
    <row r="23" spans="1:11" x14ac:dyDescent="0.3">
      <c r="A23" s="14" t="s">
        <v>16</v>
      </c>
      <c r="B23" s="14">
        <v>260</v>
      </c>
      <c r="C23" s="14">
        <v>20</v>
      </c>
      <c r="D23" s="14"/>
      <c r="E23" s="14"/>
      <c r="F23" s="14"/>
      <c r="G23" s="55">
        <f t="shared" si="0"/>
        <v>0</v>
      </c>
      <c r="H23" s="14"/>
      <c r="I23" s="14">
        <f t="shared" si="1"/>
        <v>0</v>
      </c>
      <c r="J23" s="14"/>
      <c r="K23" s="14">
        <f t="shared" si="2"/>
        <v>0</v>
      </c>
    </row>
    <row r="24" spans="1:11" x14ac:dyDescent="0.3">
      <c r="A24" s="14" t="s">
        <v>17</v>
      </c>
      <c r="B24" s="14">
        <v>260</v>
      </c>
      <c r="C24" s="14">
        <v>20</v>
      </c>
      <c r="D24" s="14"/>
      <c r="E24" s="14"/>
      <c r="F24" s="14"/>
      <c r="G24" s="55">
        <f t="shared" si="0"/>
        <v>0</v>
      </c>
      <c r="H24" s="14"/>
      <c r="I24" s="14">
        <f t="shared" si="1"/>
        <v>0</v>
      </c>
      <c r="J24" s="14"/>
      <c r="K24" s="14">
        <f t="shared" si="2"/>
        <v>0</v>
      </c>
    </row>
    <row r="25" spans="1:11" x14ac:dyDescent="0.3">
      <c r="A25" s="14" t="s">
        <v>18</v>
      </c>
      <c r="B25" s="14">
        <v>260</v>
      </c>
      <c r="C25" s="14">
        <v>20</v>
      </c>
      <c r="D25" s="14"/>
      <c r="E25" s="14"/>
      <c r="F25" s="14"/>
      <c r="G25" s="55">
        <f t="shared" si="0"/>
        <v>0</v>
      </c>
      <c r="H25" s="14"/>
      <c r="I25" s="14">
        <f t="shared" si="1"/>
        <v>0</v>
      </c>
      <c r="J25" s="14"/>
      <c r="K25" s="14">
        <f t="shared" si="2"/>
        <v>0</v>
      </c>
    </row>
    <row r="26" spans="1:11" x14ac:dyDescent="0.3">
      <c r="A26" s="14" t="s">
        <v>19</v>
      </c>
      <c r="B26" s="14">
        <v>260</v>
      </c>
      <c r="C26" s="14">
        <v>20</v>
      </c>
      <c r="D26" s="14"/>
      <c r="E26" s="14"/>
      <c r="F26" s="14"/>
      <c r="G26" s="55">
        <f t="shared" si="0"/>
        <v>0</v>
      </c>
      <c r="H26" s="14"/>
      <c r="I26" s="14">
        <f t="shared" si="1"/>
        <v>0</v>
      </c>
      <c r="J26" s="14"/>
      <c r="K26" s="14">
        <f t="shared" si="2"/>
        <v>0</v>
      </c>
    </row>
    <row r="27" spans="1:11" x14ac:dyDescent="0.3">
      <c r="A27" s="14" t="s">
        <v>20</v>
      </c>
      <c r="B27" s="14">
        <v>260</v>
      </c>
      <c r="C27" s="14">
        <v>20</v>
      </c>
      <c r="D27" s="14"/>
      <c r="E27" s="14"/>
      <c r="F27" s="14"/>
      <c r="G27" s="55">
        <f t="shared" si="0"/>
        <v>0</v>
      </c>
      <c r="H27" s="14"/>
      <c r="I27" s="14">
        <f t="shared" si="1"/>
        <v>0</v>
      </c>
      <c r="J27" s="14"/>
      <c r="K27" s="14">
        <f t="shared" si="2"/>
        <v>0</v>
      </c>
    </row>
    <row r="28" spans="1:11" x14ac:dyDescent="0.3">
      <c r="A28" s="14" t="s">
        <v>21</v>
      </c>
      <c r="B28" s="14">
        <v>260</v>
      </c>
      <c r="C28" s="14">
        <v>20</v>
      </c>
      <c r="D28" s="14"/>
      <c r="E28" s="14"/>
      <c r="F28" s="14"/>
      <c r="G28" s="55">
        <f t="shared" si="0"/>
        <v>0</v>
      </c>
      <c r="H28" s="14"/>
      <c r="I28" s="14">
        <f t="shared" si="1"/>
        <v>0</v>
      </c>
      <c r="J28" s="14"/>
      <c r="K28" s="14">
        <f t="shared" si="2"/>
        <v>0</v>
      </c>
    </row>
    <row r="29" spans="1:11" x14ac:dyDescent="0.3">
      <c r="A29" s="14" t="s">
        <v>22</v>
      </c>
      <c r="B29" s="14">
        <v>260</v>
      </c>
      <c r="C29" s="14">
        <v>20</v>
      </c>
      <c r="D29" s="14"/>
      <c r="E29" s="14"/>
      <c r="F29" s="14"/>
      <c r="G29" s="55">
        <f t="shared" si="0"/>
        <v>0</v>
      </c>
      <c r="H29" s="14"/>
      <c r="I29" s="14">
        <f t="shared" si="1"/>
        <v>0</v>
      </c>
      <c r="J29" s="14"/>
      <c r="K29" s="14">
        <f t="shared" si="2"/>
        <v>0</v>
      </c>
    </row>
    <row r="30" spans="1:11" x14ac:dyDescent="0.3">
      <c r="A30" s="14" t="s">
        <v>179</v>
      </c>
      <c r="B30" s="14">
        <v>260</v>
      </c>
      <c r="C30" s="14">
        <v>20</v>
      </c>
      <c r="D30" s="14"/>
      <c r="E30" s="14"/>
      <c r="F30" s="14"/>
      <c r="G30" s="55">
        <f t="shared" si="0"/>
        <v>0</v>
      </c>
      <c r="H30" s="14"/>
      <c r="I30" s="14">
        <f t="shared" si="1"/>
        <v>0</v>
      </c>
      <c r="J30" s="14"/>
      <c r="K30" s="14">
        <f t="shared" si="2"/>
        <v>0</v>
      </c>
    </row>
    <row r="31" spans="1:11" x14ac:dyDescent="0.3">
      <c r="A31" s="14" t="s">
        <v>23</v>
      </c>
      <c r="B31" s="14">
        <v>260</v>
      </c>
      <c r="C31" s="14">
        <v>20</v>
      </c>
      <c r="D31" s="14"/>
      <c r="E31" s="14"/>
      <c r="F31" s="14"/>
      <c r="G31" s="55">
        <f t="shared" si="0"/>
        <v>0</v>
      </c>
      <c r="H31" s="14"/>
      <c r="I31" s="14">
        <f t="shared" si="1"/>
        <v>0</v>
      </c>
      <c r="J31" s="14"/>
      <c r="K31" s="14">
        <f t="shared" si="2"/>
        <v>0</v>
      </c>
    </row>
    <row r="32" spans="1:11" x14ac:dyDescent="0.3">
      <c r="A32" s="14" t="s">
        <v>24</v>
      </c>
      <c r="B32" s="14">
        <v>260</v>
      </c>
      <c r="C32" s="14">
        <v>20</v>
      </c>
      <c r="D32" s="14"/>
      <c r="E32" s="14"/>
      <c r="F32" s="14"/>
      <c r="G32" s="55">
        <f t="shared" si="0"/>
        <v>0</v>
      </c>
      <c r="H32" s="14"/>
      <c r="I32" s="14">
        <f t="shared" si="1"/>
        <v>0</v>
      </c>
      <c r="J32" s="14"/>
      <c r="K32" s="14">
        <f t="shared" si="2"/>
        <v>0</v>
      </c>
    </row>
    <row r="33" spans="1:11" x14ac:dyDescent="0.3">
      <c r="A33" s="14" t="s">
        <v>25</v>
      </c>
      <c r="B33" s="14">
        <v>260</v>
      </c>
      <c r="C33" s="14">
        <v>20</v>
      </c>
      <c r="D33" s="14"/>
      <c r="E33" s="14"/>
      <c r="F33" s="14"/>
      <c r="G33" s="55">
        <f t="shared" si="0"/>
        <v>0</v>
      </c>
      <c r="H33" s="14"/>
      <c r="I33" s="14">
        <f t="shared" si="1"/>
        <v>0</v>
      </c>
      <c r="J33" s="14"/>
      <c r="K33" s="14">
        <f t="shared" si="2"/>
        <v>0</v>
      </c>
    </row>
    <row r="34" spans="1:11" x14ac:dyDescent="0.3">
      <c r="A34" s="14" t="s">
        <v>26</v>
      </c>
      <c r="B34" s="14">
        <v>260</v>
      </c>
      <c r="C34" s="14">
        <v>20</v>
      </c>
      <c r="D34" s="14"/>
      <c r="E34" s="14"/>
      <c r="F34" s="14"/>
      <c r="G34" s="55">
        <f t="shared" si="0"/>
        <v>0</v>
      </c>
      <c r="H34" s="14"/>
      <c r="I34" s="14">
        <f t="shared" si="1"/>
        <v>0</v>
      </c>
      <c r="J34" s="14"/>
      <c r="K34" s="14">
        <f t="shared" si="2"/>
        <v>0</v>
      </c>
    </row>
    <row r="35" spans="1:11" x14ac:dyDescent="0.3">
      <c r="A35" s="14" t="s">
        <v>184</v>
      </c>
      <c r="B35" s="14">
        <v>260</v>
      </c>
      <c r="C35" s="14">
        <v>20</v>
      </c>
      <c r="D35" s="14"/>
      <c r="E35" s="14"/>
      <c r="F35" s="14"/>
      <c r="G35" s="55">
        <f t="shared" si="0"/>
        <v>0</v>
      </c>
      <c r="H35" s="14"/>
      <c r="I35" s="14">
        <f t="shared" si="1"/>
        <v>0</v>
      </c>
      <c r="J35" s="14"/>
      <c r="K35" s="14">
        <f t="shared" si="2"/>
        <v>0</v>
      </c>
    </row>
    <row r="36" spans="1:11" x14ac:dyDescent="0.3">
      <c r="A36" s="14" t="s">
        <v>185</v>
      </c>
      <c r="B36" s="14">
        <v>260</v>
      </c>
      <c r="C36" s="14">
        <v>20</v>
      </c>
      <c r="D36" s="14"/>
      <c r="E36" s="14"/>
      <c r="F36" s="14"/>
      <c r="G36" s="55">
        <f t="shared" si="0"/>
        <v>0</v>
      </c>
      <c r="H36" s="14"/>
      <c r="I36" s="14">
        <f t="shared" si="1"/>
        <v>0</v>
      </c>
      <c r="J36" s="14"/>
      <c r="K36" s="14">
        <f t="shared" si="2"/>
        <v>0</v>
      </c>
    </row>
    <row r="37" spans="1:11" x14ac:dyDescent="0.3">
      <c r="A37" s="14" t="s">
        <v>171</v>
      </c>
      <c r="B37" s="14">
        <v>36</v>
      </c>
      <c r="C37" s="14">
        <v>16</v>
      </c>
      <c r="D37" s="14"/>
      <c r="E37" s="14"/>
      <c r="F37" s="14"/>
      <c r="G37" s="55">
        <f t="shared" si="0"/>
        <v>0</v>
      </c>
      <c r="H37" s="14"/>
      <c r="I37" s="14">
        <f t="shared" si="1"/>
        <v>0</v>
      </c>
      <c r="J37" s="14"/>
      <c r="K37" s="14">
        <f t="shared" si="2"/>
        <v>0</v>
      </c>
    </row>
    <row r="38" spans="1:11" x14ac:dyDescent="0.3">
      <c r="A38" s="14" t="s">
        <v>172</v>
      </c>
      <c r="B38" s="14">
        <v>36</v>
      </c>
      <c r="C38" s="14">
        <v>16</v>
      </c>
      <c r="D38" s="14"/>
      <c r="E38" s="14"/>
      <c r="F38" s="14"/>
      <c r="G38" s="55">
        <f t="shared" si="0"/>
        <v>0</v>
      </c>
      <c r="H38" s="14"/>
      <c r="I38" s="14">
        <f t="shared" si="1"/>
        <v>0</v>
      </c>
      <c r="J38" s="14"/>
      <c r="K38" s="14">
        <f t="shared" si="2"/>
        <v>0</v>
      </c>
    </row>
    <row r="39" spans="1:11" x14ac:dyDescent="0.3">
      <c r="A39" s="14" t="s">
        <v>173</v>
      </c>
      <c r="B39" s="14">
        <v>36</v>
      </c>
      <c r="C39" s="14">
        <v>16</v>
      </c>
      <c r="D39" s="14"/>
      <c r="E39" s="14"/>
      <c r="F39" s="14"/>
      <c r="G39" s="55">
        <f t="shared" si="0"/>
        <v>0</v>
      </c>
      <c r="H39" s="14"/>
      <c r="I39" s="14">
        <f t="shared" si="1"/>
        <v>0</v>
      </c>
      <c r="J39" s="14"/>
      <c r="K39" s="14">
        <f t="shared" si="2"/>
        <v>0</v>
      </c>
    </row>
    <row r="40" spans="1:11" x14ac:dyDescent="0.3">
      <c r="A40" s="14" t="s">
        <v>174</v>
      </c>
      <c r="B40" s="14">
        <v>36</v>
      </c>
      <c r="C40" s="14">
        <v>16</v>
      </c>
      <c r="D40" s="14"/>
      <c r="E40" s="14"/>
      <c r="F40" s="14"/>
      <c r="G40" s="55">
        <f t="shared" si="0"/>
        <v>0</v>
      </c>
      <c r="H40" s="14"/>
      <c r="I40" s="14">
        <f t="shared" si="1"/>
        <v>0</v>
      </c>
      <c r="J40" s="14"/>
      <c r="K40" s="14">
        <f t="shared" si="2"/>
        <v>0</v>
      </c>
    </row>
    <row r="41" spans="1:11" x14ac:dyDescent="0.3">
      <c r="A41" s="14" t="s">
        <v>175</v>
      </c>
      <c r="B41" s="14">
        <v>55</v>
      </c>
      <c r="C41" s="14">
        <v>16</v>
      </c>
      <c r="D41" s="14"/>
      <c r="E41" s="14"/>
      <c r="F41" s="14"/>
      <c r="G41" s="55">
        <f t="shared" si="0"/>
        <v>0</v>
      </c>
      <c r="H41" s="14"/>
      <c r="I41" s="14">
        <f t="shared" si="1"/>
        <v>0</v>
      </c>
      <c r="J41" s="14"/>
      <c r="K41" s="14">
        <f t="shared" si="2"/>
        <v>0</v>
      </c>
    </row>
    <row r="42" spans="1:11" x14ac:dyDescent="0.3">
      <c r="A42" s="14" t="s">
        <v>176</v>
      </c>
      <c r="B42" s="14">
        <v>55</v>
      </c>
      <c r="C42" s="14">
        <v>16</v>
      </c>
      <c r="D42" s="14"/>
      <c r="E42" s="14"/>
      <c r="F42" s="14"/>
      <c r="G42" s="55">
        <f t="shared" si="0"/>
        <v>0</v>
      </c>
      <c r="H42" s="14"/>
      <c r="I42" s="14">
        <f t="shared" si="1"/>
        <v>0</v>
      </c>
      <c r="J42" s="14"/>
      <c r="K42" s="14">
        <f t="shared" si="2"/>
        <v>0</v>
      </c>
    </row>
    <row r="43" spans="1:11" x14ac:dyDescent="0.3">
      <c r="A43" s="14" t="s">
        <v>180</v>
      </c>
      <c r="B43" s="14">
        <v>30</v>
      </c>
      <c r="C43" s="14">
        <v>12</v>
      </c>
      <c r="D43" s="14"/>
      <c r="E43" s="14"/>
      <c r="F43" s="14"/>
      <c r="G43" s="55">
        <f t="shared" si="0"/>
        <v>0</v>
      </c>
      <c r="H43" s="14"/>
      <c r="I43" s="14">
        <f t="shared" si="1"/>
        <v>0</v>
      </c>
      <c r="J43" s="14"/>
      <c r="K43" s="14">
        <f t="shared" si="2"/>
        <v>0</v>
      </c>
    </row>
    <row r="44" spans="1:11" x14ac:dyDescent="0.3">
      <c r="A44" s="14" t="s">
        <v>181</v>
      </c>
      <c r="B44" s="14">
        <v>30</v>
      </c>
      <c r="C44" s="14">
        <v>12</v>
      </c>
      <c r="D44" s="14"/>
      <c r="E44" s="14"/>
      <c r="F44" s="14"/>
      <c r="G44" s="55">
        <f t="shared" si="0"/>
        <v>0</v>
      </c>
      <c r="H44" s="14"/>
      <c r="I44" s="14">
        <f t="shared" si="1"/>
        <v>0</v>
      </c>
      <c r="J44" s="14"/>
      <c r="K44" s="14">
        <f t="shared" si="2"/>
        <v>0</v>
      </c>
    </row>
    <row r="45" spans="1:11" x14ac:dyDescent="0.3">
      <c r="A45" s="14" t="s">
        <v>182</v>
      </c>
      <c r="B45" s="14">
        <v>45</v>
      </c>
      <c r="C45" s="14">
        <v>7</v>
      </c>
      <c r="D45" s="14"/>
      <c r="E45" s="14"/>
      <c r="F45" s="14"/>
      <c r="G45" s="55">
        <f t="shared" si="0"/>
        <v>0</v>
      </c>
      <c r="H45" s="14"/>
      <c r="I45" s="14">
        <f t="shared" si="1"/>
        <v>0</v>
      </c>
      <c r="J45" s="14"/>
      <c r="K45" s="14">
        <f t="shared" si="2"/>
        <v>0</v>
      </c>
    </row>
    <row r="46" spans="1:11" x14ac:dyDescent="0.3">
      <c r="A46" s="14" t="s">
        <v>183</v>
      </c>
      <c r="B46" s="14">
        <v>45</v>
      </c>
      <c r="C46" s="14">
        <v>7</v>
      </c>
      <c r="D46" s="14"/>
      <c r="E46" s="14"/>
      <c r="F46" s="14"/>
      <c r="G46" s="55">
        <f t="shared" si="0"/>
        <v>0</v>
      </c>
      <c r="H46" s="14"/>
      <c r="I46" s="14">
        <f t="shared" si="1"/>
        <v>0</v>
      </c>
      <c r="J46" s="14"/>
      <c r="K46" s="14">
        <f t="shared" si="2"/>
        <v>0</v>
      </c>
    </row>
    <row r="47" spans="1:11" x14ac:dyDescent="0.3">
      <c r="A47" s="14" t="s">
        <v>27</v>
      </c>
      <c r="B47" s="14">
        <v>180</v>
      </c>
      <c r="C47" s="14">
        <v>15</v>
      </c>
      <c r="D47" s="14"/>
      <c r="E47" s="14"/>
      <c r="F47" s="14"/>
      <c r="G47" s="55">
        <f t="shared" si="0"/>
        <v>0</v>
      </c>
      <c r="H47" s="14"/>
      <c r="I47" s="14">
        <f t="shared" si="1"/>
        <v>0</v>
      </c>
      <c r="J47" s="14"/>
      <c r="K47" s="14">
        <f t="shared" si="2"/>
        <v>0</v>
      </c>
    </row>
    <row r="48" spans="1:11" x14ac:dyDescent="0.3">
      <c r="A48" s="14" t="s">
        <v>28</v>
      </c>
      <c r="B48" s="14">
        <v>130</v>
      </c>
      <c r="C48" s="14">
        <v>20</v>
      </c>
      <c r="D48" s="14"/>
      <c r="E48" s="14"/>
      <c r="F48" s="14"/>
      <c r="G48" s="55">
        <f t="shared" si="0"/>
        <v>0</v>
      </c>
      <c r="H48" s="14"/>
      <c r="I48" s="14">
        <f t="shared" si="1"/>
        <v>0</v>
      </c>
      <c r="J48" s="14"/>
      <c r="K48" s="14">
        <f t="shared" si="2"/>
        <v>0</v>
      </c>
    </row>
    <row r="49" spans="1:11" x14ac:dyDescent="0.3">
      <c r="A49" s="14" t="s">
        <v>29</v>
      </c>
      <c r="B49" s="14">
        <v>130</v>
      </c>
      <c r="C49" s="14">
        <v>20</v>
      </c>
      <c r="D49" s="14"/>
      <c r="E49" s="14"/>
      <c r="F49" s="14"/>
      <c r="G49" s="55">
        <f t="shared" si="0"/>
        <v>0</v>
      </c>
      <c r="H49" s="14"/>
      <c r="I49" s="14">
        <f t="shared" si="1"/>
        <v>0</v>
      </c>
      <c r="J49" s="14"/>
      <c r="K49" s="14">
        <f t="shared" si="2"/>
        <v>0</v>
      </c>
    </row>
    <row r="50" spans="1:11" x14ac:dyDescent="0.3">
      <c r="A50" s="14" t="s">
        <v>307</v>
      </c>
      <c r="B50" s="14">
        <v>130</v>
      </c>
      <c r="C50" s="14">
        <v>20</v>
      </c>
      <c r="D50" s="14"/>
      <c r="E50" s="14"/>
      <c r="F50" s="14"/>
      <c r="G50" s="55">
        <f t="shared" si="0"/>
        <v>0</v>
      </c>
      <c r="H50" s="14"/>
      <c r="I50" s="14">
        <f t="shared" si="1"/>
        <v>0</v>
      </c>
      <c r="J50" s="14"/>
      <c r="K50" s="14">
        <f t="shared" si="2"/>
        <v>0</v>
      </c>
    </row>
    <row r="51" spans="1:11" x14ac:dyDescent="0.3">
      <c r="A51" s="14" t="s">
        <v>30</v>
      </c>
      <c r="B51" s="14">
        <v>130</v>
      </c>
      <c r="C51" s="14">
        <v>20</v>
      </c>
      <c r="D51" s="14"/>
      <c r="E51" s="14"/>
      <c r="F51" s="14"/>
      <c r="G51" s="55">
        <f t="shared" si="0"/>
        <v>0</v>
      </c>
      <c r="H51" s="14"/>
      <c r="I51" s="14">
        <f t="shared" si="1"/>
        <v>0</v>
      </c>
      <c r="J51" s="14"/>
      <c r="K51" s="14">
        <f t="shared" si="2"/>
        <v>0</v>
      </c>
    </row>
    <row r="52" spans="1:11" x14ac:dyDescent="0.3">
      <c r="A52" s="14" t="s">
        <v>31</v>
      </c>
      <c r="B52" s="14">
        <v>130</v>
      </c>
      <c r="C52" s="14">
        <v>20</v>
      </c>
      <c r="D52" s="14"/>
      <c r="E52" s="14"/>
      <c r="F52" s="14"/>
      <c r="G52" s="55">
        <f t="shared" si="0"/>
        <v>0</v>
      </c>
      <c r="H52" s="14"/>
      <c r="I52" s="14">
        <f t="shared" si="1"/>
        <v>0</v>
      </c>
      <c r="J52" s="14"/>
      <c r="K52" s="14">
        <f t="shared" si="2"/>
        <v>0</v>
      </c>
    </row>
    <row r="53" spans="1:11" x14ac:dyDescent="0.3">
      <c r="A53" s="14" t="s">
        <v>32</v>
      </c>
      <c r="B53" s="14">
        <v>130</v>
      </c>
      <c r="C53" s="14">
        <v>20</v>
      </c>
      <c r="D53" s="14"/>
      <c r="E53" s="14"/>
      <c r="F53" s="14"/>
      <c r="G53" s="55">
        <f t="shared" si="0"/>
        <v>0</v>
      </c>
      <c r="H53" s="14"/>
      <c r="I53" s="14">
        <f t="shared" si="1"/>
        <v>0</v>
      </c>
      <c r="J53" s="14"/>
      <c r="K53" s="14">
        <f t="shared" si="2"/>
        <v>0</v>
      </c>
    </row>
    <row r="54" spans="1:11" x14ac:dyDescent="0.3">
      <c r="A54" s="14" t="s">
        <v>33</v>
      </c>
      <c r="B54" s="14">
        <v>250</v>
      </c>
      <c r="C54" s="14">
        <v>20</v>
      </c>
      <c r="D54" s="14"/>
      <c r="E54" s="14"/>
      <c r="F54" s="14"/>
      <c r="G54" s="55">
        <f t="shared" si="0"/>
        <v>0</v>
      </c>
      <c r="H54" s="14"/>
      <c r="I54" s="14">
        <f t="shared" si="1"/>
        <v>0</v>
      </c>
      <c r="J54" s="14"/>
      <c r="K54" s="14">
        <f t="shared" si="2"/>
        <v>0</v>
      </c>
    </row>
    <row r="55" spans="1:11" x14ac:dyDescent="0.3">
      <c r="A55" s="14" t="s">
        <v>34</v>
      </c>
      <c r="B55" s="14">
        <v>160</v>
      </c>
      <c r="C55" s="14">
        <v>20</v>
      </c>
      <c r="D55" s="14"/>
      <c r="E55" s="14"/>
      <c r="F55" s="14"/>
      <c r="G55" s="55">
        <f t="shared" si="0"/>
        <v>0</v>
      </c>
      <c r="H55" s="14"/>
      <c r="I55" s="14">
        <f t="shared" si="1"/>
        <v>0</v>
      </c>
      <c r="J55" s="14"/>
      <c r="K55" s="14">
        <f t="shared" si="2"/>
        <v>0</v>
      </c>
    </row>
    <row r="56" spans="1:11" x14ac:dyDescent="0.3">
      <c r="A56" s="14" t="s">
        <v>35</v>
      </c>
      <c r="B56" s="14">
        <v>280</v>
      </c>
      <c r="C56" s="14">
        <v>20</v>
      </c>
      <c r="D56" s="14"/>
      <c r="E56" s="14"/>
      <c r="F56" s="14"/>
      <c r="G56" s="55">
        <f t="shared" si="0"/>
        <v>0</v>
      </c>
      <c r="H56" s="14"/>
      <c r="I56" s="14">
        <f t="shared" si="1"/>
        <v>0</v>
      </c>
      <c r="J56" s="14"/>
      <c r="K56" s="14">
        <f t="shared" si="2"/>
        <v>0</v>
      </c>
    </row>
    <row r="57" spans="1:11" x14ac:dyDescent="0.3">
      <c r="A57" s="14" t="s">
        <v>36</v>
      </c>
      <c r="B57" s="14">
        <v>280</v>
      </c>
      <c r="C57" s="14">
        <v>20</v>
      </c>
      <c r="D57" s="14"/>
      <c r="E57" s="14"/>
      <c r="F57" s="14"/>
      <c r="G57" s="55">
        <f t="shared" si="0"/>
        <v>0</v>
      </c>
      <c r="H57" s="14"/>
      <c r="I57" s="14">
        <f t="shared" si="1"/>
        <v>0</v>
      </c>
      <c r="J57" s="14"/>
      <c r="K57" s="14">
        <f t="shared" si="2"/>
        <v>0</v>
      </c>
    </row>
    <row r="58" spans="1:11" x14ac:dyDescent="0.3">
      <c r="A58" s="14" t="s">
        <v>37</v>
      </c>
      <c r="B58" s="14"/>
      <c r="C58" s="14">
        <v>20</v>
      </c>
      <c r="D58" s="14"/>
      <c r="E58" s="14"/>
      <c r="F58" s="14"/>
      <c r="G58" s="55">
        <f t="shared" si="0"/>
        <v>0</v>
      </c>
      <c r="H58" s="14"/>
      <c r="I58" s="14">
        <f t="shared" si="1"/>
        <v>0</v>
      </c>
      <c r="J58" s="14"/>
      <c r="K58" s="14">
        <f t="shared" si="2"/>
        <v>0</v>
      </c>
    </row>
    <row r="59" spans="1:11" x14ac:dyDescent="0.3">
      <c r="A59" s="14" t="s">
        <v>38</v>
      </c>
      <c r="B59" s="14">
        <v>200</v>
      </c>
      <c r="C59" s="14">
        <v>20</v>
      </c>
      <c r="D59" s="14"/>
      <c r="E59" s="14"/>
      <c r="F59" s="14"/>
      <c r="G59" s="55">
        <f t="shared" si="0"/>
        <v>0</v>
      </c>
      <c r="H59" s="14"/>
      <c r="I59" s="14">
        <f t="shared" si="1"/>
        <v>0</v>
      </c>
      <c r="J59" s="14"/>
      <c r="K59" s="14">
        <f t="shared" si="2"/>
        <v>0</v>
      </c>
    </row>
    <row r="60" spans="1:11" x14ac:dyDescent="0.3">
      <c r="A60" s="14" t="s">
        <v>39</v>
      </c>
      <c r="B60" s="14">
        <v>130</v>
      </c>
      <c r="C60" s="14">
        <v>20</v>
      </c>
      <c r="D60" s="14"/>
      <c r="E60" s="14"/>
      <c r="F60" s="14"/>
      <c r="G60" s="55">
        <f t="shared" si="0"/>
        <v>0</v>
      </c>
      <c r="H60" s="14"/>
      <c r="I60" s="14">
        <f t="shared" si="1"/>
        <v>0</v>
      </c>
      <c r="J60" s="14"/>
      <c r="K60" s="14">
        <f t="shared" si="2"/>
        <v>0</v>
      </c>
    </row>
    <row r="61" spans="1:11" x14ac:dyDescent="0.3">
      <c r="A61" s="14" t="s">
        <v>40</v>
      </c>
      <c r="B61" s="14"/>
      <c r="C61" s="14">
        <v>20</v>
      </c>
      <c r="D61" s="14"/>
      <c r="E61" s="14"/>
      <c r="F61" s="14"/>
      <c r="G61" s="55">
        <f t="shared" si="0"/>
        <v>0</v>
      </c>
      <c r="H61" s="14"/>
      <c r="I61" s="14">
        <f t="shared" si="1"/>
        <v>0</v>
      </c>
      <c r="J61" s="14"/>
      <c r="K61" s="14">
        <f t="shared" si="2"/>
        <v>0</v>
      </c>
    </row>
    <row r="62" spans="1:11" x14ac:dyDescent="0.3">
      <c r="A62" s="14" t="s">
        <v>41</v>
      </c>
      <c r="B62" s="14">
        <v>130</v>
      </c>
      <c r="C62" s="14">
        <v>20</v>
      </c>
      <c r="D62" s="14"/>
      <c r="E62" s="14"/>
      <c r="F62" s="14"/>
      <c r="G62" s="55">
        <f t="shared" si="0"/>
        <v>0</v>
      </c>
      <c r="H62" s="14"/>
      <c r="I62" s="14">
        <f t="shared" si="1"/>
        <v>0</v>
      </c>
      <c r="J62" s="14"/>
      <c r="K62" s="14">
        <f t="shared" si="2"/>
        <v>0</v>
      </c>
    </row>
    <row r="63" spans="1:11" x14ac:dyDescent="0.3">
      <c r="A63" s="14" t="s">
        <v>42</v>
      </c>
      <c r="B63" s="14">
        <v>260</v>
      </c>
      <c r="C63" s="14">
        <v>20</v>
      </c>
      <c r="D63" s="14"/>
      <c r="E63" s="14"/>
      <c r="F63" s="14"/>
      <c r="G63" s="55">
        <f t="shared" si="0"/>
        <v>0</v>
      </c>
      <c r="H63" s="14"/>
      <c r="I63" s="14">
        <f t="shared" si="1"/>
        <v>0</v>
      </c>
      <c r="J63" s="14"/>
      <c r="K63" s="14">
        <f t="shared" si="2"/>
        <v>0</v>
      </c>
    </row>
    <row r="64" spans="1:11" x14ac:dyDescent="0.3">
      <c r="A64" s="14" t="s">
        <v>43</v>
      </c>
      <c r="B64" s="14">
        <v>260</v>
      </c>
      <c r="C64" s="14">
        <v>20</v>
      </c>
      <c r="D64" s="14"/>
      <c r="E64" s="14"/>
      <c r="F64" s="14"/>
      <c r="G64" s="55">
        <f t="shared" si="0"/>
        <v>0</v>
      </c>
      <c r="H64" s="14"/>
      <c r="I64" s="14">
        <f t="shared" si="1"/>
        <v>0</v>
      </c>
      <c r="J64" s="14"/>
      <c r="K64" s="14">
        <f t="shared" si="2"/>
        <v>0</v>
      </c>
    </row>
    <row r="65" spans="1:11" x14ac:dyDescent="0.3">
      <c r="A65" s="14" t="s">
        <v>44</v>
      </c>
      <c r="B65" s="14">
        <v>260</v>
      </c>
      <c r="C65" s="14">
        <v>20</v>
      </c>
      <c r="D65" s="14"/>
      <c r="E65" s="14"/>
      <c r="F65" s="14"/>
      <c r="G65" s="55">
        <f t="shared" si="0"/>
        <v>0</v>
      </c>
      <c r="H65" s="14"/>
      <c r="I65" s="14">
        <f t="shared" si="1"/>
        <v>0</v>
      </c>
      <c r="J65" s="14"/>
      <c r="K65" s="14">
        <f t="shared" si="2"/>
        <v>0</v>
      </c>
    </row>
    <row r="66" spans="1:11" x14ac:dyDescent="0.3">
      <c r="A66" s="14" t="s">
        <v>177</v>
      </c>
      <c r="B66" s="14">
        <v>260</v>
      </c>
      <c r="C66" s="14">
        <v>20</v>
      </c>
      <c r="D66" s="14"/>
      <c r="E66" s="14"/>
      <c r="F66" s="14"/>
      <c r="G66" s="55">
        <f t="shared" si="0"/>
        <v>0</v>
      </c>
      <c r="H66" s="14"/>
      <c r="I66" s="14">
        <f t="shared" si="1"/>
        <v>0</v>
      </c>
      <c r="J66" s="14"/>
      <c r="K66" s="14">
        <f t="shared" si="2"/>
        <v>0</v>
      </c>
    </row>
    <row r="67" spans="1:11" x14ac:dyDescent="0.3">
      <c r="A67" s="14" t="s">
        <v>45</v>
      </c>
      <c r="B67" s="14">
        <v>260</v>
      </c>
      <c r="C67" s="14">
        <v>20</v>
      </c>
      <c r="D67" s="14"/>
      <c r="E67" s="14"/>
      <c r="F67" s="14"/>
      <c r="G67" s="55">
        <f t="shared" si="0"/>
        <v>0</v>
      </c>
      <c r="H67" s="14"/>
      <c r="I67" s="14">
        <f t="shared" si="1"/>
        <v>0</v>
      </c>
      <c r="J67" s="14"/>
      <c r="K67" s="14">
        <f t="shared" si="2"/>
        <v>0</v>
      </c>
    </row>
    <row r="68" spans="1:11" x14ac:dyDescent="0.3">
      <c r="A68" s="14" t="s">
        <v>46</v>
      </c>
      <c r="B68" s="14">
        <v>260</v>
      </c>
      <c r="C68" s="14">
        <v>20</v>
      </c>
      <c r="D68" s="14"/>
      <c r="E68" s="14"/>
      <c r="F68" s="14"/>
      <c r="G68" s="55">
        <f t="shared" si="0"/>
        <v>0</v>
      </c>
      <c r="H68" s="14"/>
      <c r="I68" s="14">
        <f t="shared" si="1"/>
        <v>0</v>
      </c>
      <c r="J68" s="14"/>
      <c r="K68" s="14">
        <f t="shared" si="2"/>
        <v>0</v>
      </c>
    </row>
    <row r="69" spans="1:11" x14ac:dyDescent="0.3">
      <c r="A69" s="14" t="s">
        <v>47</v>
      </c>
      <c r="B69" s="14">
        <v>260</v>
      </c>
      <c r="C69" s="14">
        <v>20</v>
      </c>
      <c r="D69" s="14"/>
      <c r="E69" s="14"/>
      <c r="F69" s="14"/>
      <c r="G69" s="55">
        <f t="shared" si="0"/>
        <v>0</v>
      </c>
      <c r="H69" s="14"/>
      <c r="I69" s="14">
        <f t="shared" si="1"/>
        <v>0</v>
      </c>
      <c r="J69" s="14"/>
      <c r="K69" s="14">
        <f t="shared" si="2"/>
        <v>0</v>
      </c>
    </row>
    <row r="70" spans="1:11" x14ac:dyDescent="0.3">
      <c r="A70" s="14" t="s">
        <v>178</v>
      </c>
      <c r="B70" s="14">
        <v>260</v>
      </c>
      <c r="C70" s="14">
        <v>20</v>
      </c>
      <c r="D70" s="14"/>
      <c r="E70" s="14"/>
      <c r="F70" s="14"/>
      <c r="G70" s="55">
        <f t="shared" ref="G70:G133" si="3">((D70*C70)+E70)*B70+F70</f>
        <v>0</v>
      </c>
      <c r="H70" s="14"/>
      <c r="I70" s="14">
        <f t="shared" ref="I70:I96" si="4">+G70+H70</f>
        <v>0</v>
      </c>
      <c r="J70" s="14"/>
      <c r="K70" s="14">
        <f t="shared" ref="K70:K96" si="5">+I70-J70</f>
        <v>0</v>
      </c>
    </row>
    <row r="71" spans="1:11" x14ac:dyDescent="0.3">
      <c r="A71" s="14" t="s">
        <v>48</v>
      </c>
      <c r="B71" s="14">
        <v>260</v>
      </c>
      <c r="C71" s="14">
        <v>20</v>
      </c>
      <c r="D71" s="14"/>
      <c r="E71" s="14"/>
      <c r="F71" s="14"/>
      <c r="G71" s="55">
        <f t="shared" si="3"/>
        <v>0</v>
      </c>
      <c r="H71" s="14"/>
      <c r="I71" s="14">
        <f t="shared" si="4"/>
        <v>0</v>
      </c>
      <c r="J71" s="14"/>
      <c r="K71" s="14">
        <f t="shared" si="5"/>
        <v>0</v>
      </c>
    </row>
    <row r="72" spans="1:11" x14ac:dyDescent="0.3">
      <c r="A72" s="14" t="s">
        <v>49</v>
      </c>
      <c r="B72" s="14">
        <v>260</v>
      </c>
      <c r="C72" s="14">
        <v>20</v>
      </c>
      <c r="D72" s="14"/>
      <c r="E72" s="14"/>
      <c r="F72" s="14"/>
      <c r="G72" s="55">
        <f t="shared" si="3"/>
        <v>0</v>
      </c>
      <c r="H72" s="14"/>
      <c r="I72" s="14">
        <f t="shared" si="4"/>
        <v>0</v>
      </c>
      <c r="J72" s="14"/>
      <c r="K72" s="14">
        <f t="shared" si="5"/>
        <v>0</v>
      </c>
    </row>
    <row r="73" spans="1:11" x14ac:dyDescent="0.3">
      <c r="A73" s="14" t="s">
        <v>50</v>
      </c>
      <c r="B73" s="14">
        <v>350</v>
      </c>
      <c r="C73" s="14">
        <v>20</v>
      </c>
      <c r="D73" s="14"/>
      <c r="E73" s="14"/>
      <c r="F73" s="14"/>
      <c r="G73" s="55">
        <f t="shared" si="3"/>
        <v>0</v>
      </c>
      <c r="H73" s="14"/>
      <c r="I73" s="14">
        <f t="shared" si="4"/>
        <v>0</v>
      </c>
      <c r="J73" s="14"/>
      <c r="K73" s="14">
        <f t="shared" si="5"/>
        <v>0</v>
      </c>
    </row>
    <row r="74" spans="1:11" x14ac:dyDescent="0.3">
      <c r="A74" s="14" t="s">
        <v>51</v>
      </c>
      <c r="B74" s="14">
        <v>350</v>
      </c>
      <c r="C74" s="14">
        <v>20</v>
      </c>
      <c r="D74" s="14"/>
      <c r="E74" s="14"/>
      <c r="F74" s="14"/>
      <c r="G74" s="55">
        <f t="shared" si="3"/>
        <v>0</v>
      </c>
      <c r="H74" s="14"/>
      <c r="I74" s="14">
        <f t="shared" si="4"/>
        <v>0</v>
      </c>
      <c r="J74" s="14"/>
      <c r="K74" s="14">
        <f t="shared" si="5"/>
        <v>0</v>
      </c>
    </row>
    <row r="75" spans="1:11" x14ac:dyDescent="0.3">
      <c r="A75" s="14" t="s">
        <v>52</v>
      </c>
      <c r="B75" s="14">
        <v>350</v>
      </c>
      <c r="C75" s="14">
        <v>20</v>
      </c>
      <c r="D75" s="14"/>
      <c r="E75" s="14"/>
      <c r="F75" s="14"/>
      <c r="G75" s="55">
        <f t="shared" si="3"/>
        <v>0</v>
      </c>
      <c r="H75" s="14"/>
      <c r="I75" s="14">
        <f t="shared" si="4"/>
        <v>0</v>
      </c>
      <c r="J75" s="14"/>
      <c r="K75" s="14">
        <f t="shared" si="5"/>
        <v>0</v>
      </c>
    </row>
    <row r="76" spans="1:11" x14ac:dyDescent="0.3">
      <c r="A76" s="14" t="s">
        <v>53</v>
      </c>
      <c r="B76" s="14">
        <v>350</v>
      </c>
      <c r="C76" s="14">
        <v>20</v>
      </c>
      <c r="D76" s="14"/>
      <c r="E76" s="14"/>
      <c r="F76" s="14"/>
      <c r="G76" s="55">
        <f t="shared" si="3"/>
        <v>0</v>
      </c>
      <c r="H76" s="14"/>
      <c r="I76" s="14">
        <f t="shared" si="4"/>
        <v>0</v>
      </c>
      <c r="J76" s="14"/>
      <c r="K76" s="14">
        <f t="shared" si="5"/>
        <v>0</v>
      </c>
    </row>
    <row r="77" spans="1:11" x14ac:dyDescent="0.3">
      <c r="A77" s="14" t="s">
        <v>54</v>
      </c>
      <c r="B77" s="14">
        <v>350</v>
      </c>
      <c r="C77" s="14">
        <v>20</v>
      </c>
      <c r="D77" s="14"/>
      <c r="E77" s="14"/>
      <c r="F77" s="14"/>
      <c r="G77" s="55">
        <f t="shared" si="3"/>
        <v>0</v>
      </c>
      <c r="H77" s="14"/>
      <c r="I77" s="14">
        <f t="shared" si="4"/>
        <v>0</v>
      </c>
      <c r="J77" s="14"/>
      <c r="K77" s="14">
        <f t="shared" si="5"/>
        <v>0</v>
      </c>
    </row>
    <row r="78" spans="1:11" x14ac:dyDescent="0.3">
      <c r="A78" s="14" t="s">
        <v>55</v>
      </c>
      <c r="B78" s="14">
        <v>350</v>
      </c>
      <c r="C78" s="14">
        <v>20</v>
      </c>
      <c r="D78" s="14"/>
      <c r="E78" s="14"/>
      <c r="F78" s="14"/>
      <c r="G78" s="55">
        <f t="shared" si="3"/>
        <v>0</v>
      </c>
      <c r="H78" s="14"/>
      <c r="I78" s="14">
        <f t="shared" si="4"/>
        <v>0</v>
      </c>
      <c r="J78" s="14"/>
      <c r="K78" s="14">
        <f t="shared" si="5"/>
        <v>0</v>
      </c>
    </row>
    <row r="79" spans="1:11" x14ac:dyDescent="0.3">
      <c r="A79" s="14" t="s">
        <v>56</v>
      </c>
      <c r="B79" s="14">
        <v>350</v>
      </c>
      <c r="C79" s="14">
        <v>20</v>
      </c>
      <c r="D79" s="14"/>
      <c r="E79" s="14"/>
      <c r="F79" s="14"/>
      <c r="G79" s="55">
        <f t="shared" si="3"/>
        <v>0</v>
      </c>
      <c r="H79" s="14"/>
      <c r="I79" s="14">
        <f t="shared" si="4"/>
        <v>0</v>
      </c>
      <c r="J79" s="14"/>
      <c r="K79" s="14">
        <f t="shared" si="5"/>
        <v>0</v>
      </c>
    </row>
    <row r="80" spans="1:11" x14ac:dyDescent="0.3">
      <c r="A80" s="14" t="s">
        <v>57</v>
      </c>
      <c r="B80" s="14">
        <v>350</v>
      </c>
      <c r="C80" s="14">
        <v>20</v>
      </c>
      <c r="D80" s="14"/>
      <c r="E80" s="14"/>
      <c r="F80" s="14"/>
      <c r="G80" s="55">
        <f t="shared" si="3"/>
        <v>0</v>
      </c>
      <c r="H80" s="14"/>
      <c r="I80" s="14">
        <f t="shared" si="4"/>
        <v>0</v>
      </c>
      <c r="J80" s="14"/>
      <c r="K80" s="14">
        <f t="shared" si="5"/>
        <v>0</v>
      </c>
    </row>
    <row r="81" spans="1:11" x14ac:dyDescent="0.3">
      <c r="A81" s="14" t="s">
        <v>160</v>
      </c>
      <c r="B81" s="14">
        <v>350</v>
      </c>
      <c r="C81" s="14">
        <v>20</v>
      </c>
      <c r="D81" s="14"/>
      <c r="E81" s="14"/>
      <c r="F81" s="14"/>
      <c r="G81" s="55">
        <f t="shared" si="3"/>
        <v>0</v>
      </c>
      <c r="H81" s="14"/>
      <c r="I81" s="14">
        <f t="shared" si="4"/>
        <v>0</v>
      </c>
      <c r="J81" s="14"/>
      <c r="K81" s="14">
        <f t="shared" si="5"/>
        <v>0</v>
      </c>
    </row>
    <row r="82" spans="1:11" x14ac:dyDescent="0.3">
      <c r="A82" s="14" t="s">
        <v>161</v>
      </c>
      <c r="B82" s="14">
        <v>350</v>
      </c>
      <c r="C82" s="14">
        <v>20</v>
      </c>
      <c r="D82" s="14"/>
      <c r="E82" s="14"/>
      <c r="F82" s="14"/>
      <c r="G82" s="55">
        <f t="shared" si="3"/>
        <v>0</v>
      </c>
      <c r="H82" s="14"/>
      <c r="I82" s="14">
        <f t="shared" si="4"/>
        <v>0</v>
      </c>
      <c r="J82" s="14"/>
      <c r="K82" s="14">
        <f t="shared" si="5"/>
        <v>0</v>
      </c>
    </row>
    <row r="83" spans="1:11" x14ac:dyDescent="0.3">
      <c r="A83" s="14" t="s">
        <v>159</v>
      </c>
      <c r="B83" s="14">
        <v>350</v>
      </c>
      <c r="C83" s="14">
        <v>20</v>
      </c>
      <c r="D83" s="14"/>
      <c r="E83" s="14"/>
      <c r="F83" s="14"/>
      <c r="G83" s="55">
        <f t="shared" si="3"/>
        <v>0</v>
      </c>
      <c r="H83" s="14"/>
      <c r="I83" s="14">
        <f t="shared" si="4"/>
        <v>0</v>
      </c>
      <c r="J83" s="14"/>
      <c r="K83" s="14">
        <f t="shared" si="5"/>
        <v>0</v>
      </c>
    </row>
    <row r="84" spans="1:11" x14ac:dyDescent="0.3">
      <c r="A84" s="14" t="s">
        <v>167</v>
      </c>
      <c r="B84" s="14">
        <v>200</v>
      </c>
      <c r="C84" s="14">
        <v>20</v>
      </c>
      <c r="D84" s="14"/>
      <c r="E84" s="14"/>
      <c r="F84" s="14"/>
      <c r="G84" s="55">
        <f t="shared" si="3"/>
        <v>0</v>
      </c>
      <c r="H84" s="14"/>
      <c r="I84" s="14">
        <f t="shared" si="4"/>
        <v>0</v>
      </c>
      <c r="J84" s="14"/>
      <c r="K84" s="14">
        <f t="shared" si="5"/>
        <v>0</v>
      </c>
    </row>
    <row r="85" spans="1:11" x14ac:dyDescent="0.3">
      <c r="A85" s="14" t="s">
        <v>168</v>
      </c>
      <c r="B85" s="14">
        <v>120</v>
      </c>
      <c r="C85" s="14">
        <v>9</v>
      </c>
      <c r="D85" s="14"/>
      <c r="E85" s="14"/>
      <c r="F85" s="14"/>
      <c r="G85" s="55">
        <f t="shared" si="3"/>
        <v>0</v>
      </c>
      <c r="H85" s="14"/>
      <c r="I85" s="14">
        <f t="shared" si="4"/>
        <v>0</v>
      </c>
      <c r="J85" s="14"/>
      <c r="K85" s="14">
        <f t="shared" si="5"/>
        <v>0</v>
      </c>
    </row>
    <row r="86" spans="1:11" x14ac:dyDescent="0.3">
      <c r="A86" s="14" t="s">
        <v>162</v>
      </c>
      <c r="B86" s="14">
        <v>75</v>
      </c>
      <c r="C86" s="14">
        <v>15</v>
      </c>
      <c r="D86" s="14"/>
      <c r="E86" s="14"/>
      <c r="F86" s="14"/>
      <c r="G86" s="55">
        <f t="shared" si="3"/>
        <v>0</v>
      </c>
      <c r="H86" s="14"/>
      <c r="I86" s="14">
        <f t="shared" si="4"/>
        <v>0</v>
      </c>
      <c r="J86" s="14"/>
      <c r="K86" s="14">
        <f t="shared" si="5"/>
        <v>0</v>
      </c>
    </row>
    <row r="87" spans="1:11" x14ac:dyDescent="0.3">
      <c r="A87" s="14" t="s">
        <v>80</v>
      </c>
      <c r="B87" s="14">
        <v>260</v>
      </c>
      <c r="C87" s="14">
        <v>16</v>
      </c>
      <c r="D87" s="14"/>
      <c r="E87" s="14"/>
      <c r="F87" s="14"/>
      <c r="G87" s="55">
        <f t="shared" si="3"/>
        <v>0</v>
      </c>
      <c r="H87" s="14"/>
      <c r="I87" s="14">
        <f t="shared" si="4"/>
        <v>0</v>
      </c>
      <c r="J87" s="14"/>
      <c r="K87" s="14">
        <f t="shared" si="5"/>
        <v>0</v>
      </c>
    </row>
    <row r="88" spans="1:11" x14ac:dyDescent="0.3">
      <c r="A88" s="14" t="s">
        <v>81</v>
      </c>
      <c r="B88" s="14">
        <v>260</v>
      </c>
      <c r="C88" s="14">
        <v>16</v>
      </c>
      <c r="D88" s="14"/>
      <c r="E88" s="14"/>
      <c r="F88" s="14"/>
      <c r="G88" s="55">
        <f t="shared" si="3"/>
        <v>0</v>
      </c>
      <c r="H88" s="14"/>
      <c r="I88" s="14">
        <f t="shared" si="4"/>
        <v>0</v>
      </c>
      <c r="J88" s="14"/>
      <c r="K88" s="14">
        <f t="shared" si="5"/>
        <v>0</v>
      </c>
    </row>
    <row r="89" spans="1:11" x14ac:dyDescent="0.3">
      <c r="A89" s="14" t="s">
        <v>82</v>
      </c>
      <c r="B89" s="14">
        <v>260</v>
      </c>
      <c r="C89" s="14">
        <v>16</v>
      </c>
      <c r="D89" s="14"/>
      <c r="E89" s="14"/>
      <c r="F89" s="14"/>
      <c r="G89" s="55">
        <f t="shared" si="3"/>
        <v>0</v>
      </c>
      <c r="H89" s="14"/>
      <c r="I89" s="14">
        <f t="shared" si="4"/>
        <v>0</v>
      </c>
      <c r="J89" s="14"/>
      <c r="K89" s="14">
        <f t="shared" si="5"/>
        <v>0</v>
      </c>
    </row>
    <row r="90" spans="1:11" x14ac:dyDescent="0.3">
      <c r="A90" s="14" t="s">
        <v>83</v>
      </c>
      <c r="B90" s="14">
        <v>96</v>
      </c>
      <c r="C90" s="14">
        <v>16</v>
      </c>
      <c r="D90" s="14"/>
      <c r="E90" s="14"/>
      <c r="F90" s="14"/>
      <c r="G90" s="55">
        <f t="shared" si="3"/>
        <v>0</v>
      </c>
      <c r="H90" s="14"/>
      <c r="I90" s="14">
        <f t="shared" si="4"/>
        <v>0</v>
      </c>
      <c r="J90" s="14"/>
      <c r="K90" s="14">
        <f t="shared" si="5"/>
        <v>0</v>
      </c>
    </row>
    <row r="91" spans="1:11" x14ac:dyDescent="0.3">
      <c r="A91" s="14" t="s">
        <v>84</v>
      </c>
      <c r="B91" s="14">
        <v>260</v>
      </c>
      <c r="C91" s="14">
        <v>15</v>
      </c>
      <c r="D91" s="14"/>
      <c r="E91" s="14"/>
      <c r="F91" s="14"/>
      <c r="G91" s="55">
        <f t="shared" si="3"/>
        <v>0</v>
      </c>
      <c r="H91" s="14"/>
      <c r="I91" s="14">
        <f t="shared" si="4"/>
        <v>0</v>
      </c>
      <c r="J91" s="14"/>
      <c r="K91" s="14">
        <f t="shared" si="5"/>
        <v>0</v>
      </c>
    </row>
    <row r="92" spans="1:11" x14ac:dyDescent="0.3">
      <c r="A92" s="14" t="s">
        <v>85</v>
      </c>
      <c r="B92" s="14">
        <v>260</v>
      </c>
      <c r="C92" s="14">
        <v>15</v>
      </c>
      <c r="D92" s="14"/>
      <c r="E92" s="14"/>
      <c r="F92" s="14"/>
      <c r="G92" s="55">
        <f t="shared" si="3"/>
        <v>0</v>
      </c>
      <c r="H92" s="14"/>
      <c r="I92" s="14">
        <f t="shared" si="4"/>
        <v>0</v>
      </c>
      <c r="J92" s="14"/>
      <c r="K92" s="14">
        <f t="shared" si="5"/>
        <v>0</v>
      </c>
    </row>
    <row r="93" spans="1:11" x14ac:dyDescent="0.3">
      <c r="A93" s="14" t="s">
        <v>86</v>
      </c>
      <c r="B93" s="14">
        <v>260</v>
      </c>
      <c r="C93" s="14">
        <v>15</v>
      </c>
      <c r="D93" s="14"/>
      <c r="E93" s="14"/>
      <c r="F93" s="14"/>
      <c r="G93" s="55">
        <f t="shared" si="3"/>
        <v>0</v>
      </c>
      <c r="H93" s="14"/>
      <c r="I93" s="14">
        <f t="shared" si="4"/>
        <v>0</v>
      </c>
      <c r="J93" s="14"/>
      <c r="K93" s="14">
        <f t="shared" si="5"/>
        <v>0</v>
      </c>
    </row>
    <row r="94" spans="1:11" x14ac:dyDescent="0.3">
      <c r="A94" s="14" t="s">
        <v>87</v>
      </c>
      <c r="B94" s="14">
        <v>160</v>
      </c>
      <c r="C94" s="14">
        <v>15</v>
      </c>
      <c r="D94" s="14"/>
      <c r="E94" s="14"/>
      <c r="F94" s="14"/>
      <c r="G94" s="55">
        <f t="shared" si="3"/>
        <v>0</v>
      </c>
      <c r="H94" s="14"/>
      <c r="I94" s="14">
        <f t="shared" si="4"/>
        <v>0</v>
      </c>
      <c r="J94" s="14"/>
      <c r="K94" s="14">
        <f t="shared" si="5"/>
        <v>0</v>
      </c>
    </row>
    <row r="95" spans="1:11" x14ac:dyDescent="0.3">
      <c r="A95" s="14" t="s">
        <v>88</v>
      </c>
      <c r="B95" s="14">
        <v>160</v>
      </c>
      <c r="C95" s="14">
        <v>15</v>
      </c>
      <c r="D95" s="14"/>
      <c r="E95" s="14"/>
      <c r="F95" s="14"/>
      <c r="G95" s="55">
        <f t="shared" si="3"/>
        <v>0</v>
      </c>
      <c r="H95" s="14"/>
      <c r="I95" s="14">
        <f t="shared" si="4"/>
        <v>0</v>
      </c>
      <c r="J95" s="14"/>
      <c r="K95" s="14">
        <f t="shared" si="5"/>
        <v>0</v>
      </c>
    </row>
    <row r="96" spans="1:11" x14ac:dyDescent="0.3">
      <c r="A96" s="14" t="s">
        <v>342</v>
      </c>
      <c r="B96" s="14">
        <v>260</v>
      </c>
      <c r="C96" s="14">
        <v>15</v>
      </c>
      <c r="D96" s="14"/>
      <c r="E96" s="14"/>
      <c r="F96" s="14"/>
      <c r="G96" s="55">
        <f t="shared" si="3"/>
        <v>0</v>
      </c>
      <c r="H96" s="14"/>
      <c r="I96" s="14">
        <f t="shared" si="4"/>
        <v>0</v>
      </c>
      <c r="J96" s="14"/>
      <c r="K96" s="14">
        <f t="shared" si="5"/>
        <v>0</v>
      </c>
    </row>
    <row r="97" spans="1:11" x14ac:dyDescent="0.3">
      <c r="A97" s="14" t="s">
        <v>163</v>
      </c>
      <c r="B97" s="14">
        <v>450</v>
      </c>
      <c r="C97" s="14">
        <v>20</v>
      </c>
      <c r="D97" s="14"/>
      <c r="E97" s="14"/>
      <c r="F97" s="14"/>
      <c r="G97" s="55">
        <f t="shared" si="3"/>
        <v>0</v>
      </c>
      <c r="H97" s="14"/>
      <c r="I97" s="14">
        <f t="shared" ref="I97:I131" si="6">+G97+H97</f>
        <v>0</v>
      </c>
      <c r="J97" s="14"/>
      <c r="K97" s="14">
        <f t="shared" ref="K97:K131" si="7">+I97-J97</f>
        <v>0</v>
      </c>
    </row>
    <row r="98" spans="1:11" x14ac:dyDescent="0.3">
      <c r="A98" s="14" t="s">
        <v>164</v>
      </c>
      <c r="B98" s="14">
        <v>140</v>
      </c>
      <c r="C98" s="14">
        <v>20</v>
      </c>
      <c r="D98" s="14"/>
      <c r="E98" s="14"/>
      <c r="F98" s="14"/>
      <c r="G98" s="55">
        <f t="shared" si="3"/>
        <v>0</v>
      </c>
      <c r="H98" s="14"/>
      <c r="I98" s="14">
        <f t="shared" si="6"/>
        <v>0</v>
      </c>
      <c r="J98" s="14"/>
      <c r="K98" s="14">
        <f t="shared" si="7"/>
        <v>0</v>
      </c>
    </row>
    <row r="99" spans="1:11" x14ac:dyDescent="0.3">
      <c r="A99" s="14" t="s">
        <v>165</v>
      </c>
      <c r="B99" s="14">
        <v>200</v>
      </c>
      <c r="C99" s="14">
        <v>20</v>
      </c>
      <c r="D99" s="14"/>
      <c r="E99" s="14"/>
      <c r="F99" s="14"/>
      <c r="G99" s="55">
        <f t="shared" si="3"/>
        <v>0</v>
      </c>
      <c r="H99" s="14"/>
      <c r="I99" s="14">
        <f t="shared" si="6"/>
        <v>0</v>
      </c>
      <c r="J99" s="14"/>
      <c r="K99" s="14">
        <f t="shared" si="7"/>
        <v>0</v>
      </c>
    </row>
    <row r="100" spans="1:11" x14ac:dyDescent="0.3">
      <c r="A100" s="14" t="s">
        <v>166</v>
      </c>
      <c r="B100" s="14">
        <v>240</v>
      </c>
      <c r="C100" s="14">
        <v>20</v>
      </c>
      <c r="D100" s="14"/>
      <c r="E100" s="14"/>
      <c r="F100" s="14"/>
      <c r="G100" s="55">
        <f t="shared" si="3"/>
        <v>0</v>
      </c>
      <c r="H100" s="14"/>
      <c r="I100" s="14">
        <f t="shared" si="6"/>
        <v>0</v>
      </c>
      <c r="J100" s="14"/>
      <c r="K100" s="14">
        <f t="shared" si="7"/>
        <v>0</v>
      </c>
    </row>
    <row r="101" spans="1:11" x14ac:dyDescent="0.3">
      <c r="A101" s="14" t="s">
        <v>186</v>
      </c>
      <c r="B101" s="14">
        <v>120</v>
      </c>
      <c r="C101" s="14">
        <v>9</v>
      </c>
      <c r="D101" s="14"/>
      <c r="E101" s="14"/>
      <c r="F101" s="14"/>
      <c r="G101" s="55">
        <f t="shared" si="3"/>
        <v>0</v>
      </c>
      <c r="H101" s="14"/>
      <c r="I101" s="14">
        <f t="shared" si="6"/>
        <v>0</v>
      </c>
      <c r="J101" s="14"/>
      <c r="K101" s="14">
        <f t="shared" si="7"/>
        <v>0</v>
      </c>
    </row>
    <row r="102" spans="1:11" x14ac:dyDescent="0.3">
      <c r="A102" s="14" t="s">
        <v>187</v>
      </c>
      <c r="B102" s="14">
        <v>120</v>
      </c>
      <c r="C102" s="14">
        <v>9</v>
      </c>
      <c r="D102" s="14"/>
      <c r="E102" s="14"/>
      <c r="F102" s="14"/>
      <c r="G102" s="55">
        <f t="shared" si="3"/>
        <v>0</v>
      </c>
      <c r="H102" s="14"/>
      <c r="I102" s="14">
        <f t="shared" si="6"/>
        <v>0</v>
      </c>
      <c r="J102" s="14"/>
      <c r="K102" s="14">
        <f t="shared" si="7"/>
        <v>0</v>
      </c>
    </row>
    <row r="103" spans="1:11" x14ac:dyDescent="0.3">
      <c r="A103" s="14" t="s">
        <v>188</v>
      </c>
      <c r="B103" s="14">
        <v>120</v>
      </c>
      <c r="C103" s="14">
        <v>9</v>
      </c>
      <c r="D103" s="14"/>
      <c r="E103" s="14"/>
      <c r="F103" s="14"/>
      <c r="G103" s="55">
        <f t="shared" si="3"/>
        <v>0</v>
      </c>
      <c r="H103" s="14"/>
      <c r="I103" s="14">
        <f t="shared" si="6"/>
        <v>0</v>
      </c>
      <c r="J103" s="14"/>
      <c r="K103" s="14">
        <f t="shared" si="7"/>
        <v>0</v>
      </c>
    </row>
    <row r="104" spans="1:11" x14ac:dyDescent="0.3">
      <c r="A104" s="14" t="s">
        <v>189</v>
      </c>
      <c r="B104" s="14">
        <v>200</v>
      </c>
      <c r="C104" s="14">
        <v>20</v>
      </c>
      <c r="D104" s="14"/>
      <c r="E104" s="14"/>
      <c r="F104" s="14"/>
      <c r="G104" s="55">
        <f t="shared" si="3"/>
        <v>0</v>
      </c>
      <c r="H104" s="14"/>
      <c r="I104" s="14">
        <f t="shared" si="6"/>
        <v>0</v>
      </c>
      <c r="J104" s="14"/>
      <c r="K104" s="14">
        <f t="shared" si="7"/>
        <v>0</v>
      </c>
    </row>
    <row r="105" spans="1:11" x14ac:dyDescent="0.3">
      <c r="A105" s="14" t="s">
        <v>58</v>
      </c>
      <c r="B105" s="14">
        <v>500</v>
      </c>
      <c r="C105" s="14">
        <v>18</v>
      </c>
      <c r="D105" s="14"/>
      <c r="E105" s="14"/>
      <c r="F105" s="14"/>
      <c r="G105" s="55">
        <f t="shared" si="3"/>
        <v>0</v>
      </c>
      <c r="H105" s="14"/>
      <c r="I105" s="14">
        <f t="shared" si="6"/>
        <v>0</v>
      </c>
      <c r="J105" s="14"/>
      <c r="K105" s="14">
        <f t="shared" si="7"/>
        <v>0</v>
      </c>
    </row>
    <row r="106" spans="1:11" x14ac:dyDescent="0.3">
      <c r="A106" s="14" t="s">
        <v>76</v>
      </c>
      <c r="B106" s="14">
        <v>27</v>
      </c>
      <c r="C106" s="14">
        <v>16</v>
      </c>
      <c r="D106" s="14"/>
      <c r="E106" s="14"/>
      <c r="F106" s="14"/>
      <c r="G106" s="55">
        <f t="shared" si="3"/>
        <v>0</v>
      </c>
      <c r="H106" s="14"/>
      <c r="I106" s="14">
        <f t="shared" si="6"/>
        <v>0</v>
      </c>
      <c r="J106" s="14"/>
      <c r="K106" s="14">
        <f t="shared" si="7"/>
        <v>0</v>
      </c>
    </row>
    <row r="107" spans="1:11" x14ac:dyDescent="0.3">
      <c r="A107" s="14" t="s">
        <v>77</v>
      </c>
      <c r="B107" s="14">
        <v>27</v>
      </c>
      <c r="C107" s="14">
        <v>16</v>
      </c>
      <c r="D107" s="14"/>
      <c r="E107" s="14"/>
      <c r="F107" s="14"/>
      <c r="G107" s="55">
        <f t="shared" si="3"/>
        <v>0</v>
      </c>
      <c r="H107" s="14"/>
      <c r="I107" s="14">
        <f t="shared" si="6"/>
        <v>0</v>
      </c>
      <c r="J107" s="14"/>
      <c r="K107" s="14">
        <f t="shared" si="7"/>
        <v>0</v>
      </c>
    </row>
    <row r="108" spans="1:11" x14ac:dyDescent="0.3">
      <c r="A108" s="14" t="s">
        <v>190</v>
      </c>
      <c r="B108" s="14">
        <v>27</v>
      </c>
      <c r="C108" s="14">
        <v>16</v>
      </c>
      <c r="D108" s="14"/>
      <c r="E108" s="14"/>
      <c r="F108" s="14"/>
      <c r="G108" s="55">
        <f t="shared" si="3"/>
        <v>0</v>
      </c>
      <c r="H108" s="14"/>
      <c r="I108" s="14">
        <f t="shared" si="6"/>
        <v>0</v>
      </c>
      <c r="J108" s="14"/>
      <c r="K108" s="14">
        <f t="shared" si="7"/>
        <v>0</v>
      </c>
    </row>
    <row r="109" spans="1:11" x14ac:dyDescent="0.3">
      <c r="A109" s="14" t="s">
        <v>191</v>
      </c>
      <c r="B109" s="14">
        <v>27</v>
      </c>
      <c r="C109" s="14">
        <v>16</v>
      </c>
      <c r="D109" s="14"/>
      <c r="E109" s="14"/>
      <c r="F109" s="14"/>
      <c r="G109" s="55">
        <f t="shared" si="3"/>
        <v>0</v>
      </c>
      <c r="H109" s="14"/>
      <c r="I109" s="14">
        <f t="shared" si="6"/>
        <v>0</v>
      </c>
      <c r="J109" s="14"/>
      <c r="K109" s="14">
        <f t="shared" si="7"/>
        <v>0</v>
      </c>
    </row>
    <row r="110" spans="1:11" x14ac:dyDescent="0.3">
      <c r="A110" s="14" t="s">
        <v>192</v>
      </c>
      <c r="B110" s="14">
        <v>27</v>
      </c>
      <c r="C110" s="14">
        <v>16</v>
      </c>
      <c r="D110" s="14"/>
      <c r="E110" s="14"/>
      <c r="F110" s="14"/>
      <c r="G110" s="55">
        <f t="shared" si="3"/>
        <v>0</v>
      </c>
      <c r="H110" s="14"/>
      <c r="I110" s="14">
        <f t="shared" si="6"/>
        <v>0</v>
      </c>
      <c r="J110" s="14"/>
      <c r="K110" s="14">
        <f t="shared" si="7"/>
        <v>0</v>
      </c>
    </row>
    <row r="111" spans="1:11" x14ac:dyDescent="0.3">
      <c r="A111" s="14" t="s">
        <v>193</v>
      </c>
      <c r="B111" s="14">
        <v>85</v>
      </c>
      <c r="C111" s="14">
        <v>24</v>
      </c>
      <c r="D111" s="14"/>
      <c r="E111" s="14"/>
      <c r="F111" s="14"/>
      <c r="G111" s="55">
        <f t="shared" si="3"/>
        <v>0</v>
      </c>
      <c r="H111" s="14"/>
      <c r="I111" s="14">
        <f t="shared" si="6"/>
        <v>0</v>
      </c>
      <c r="J111" s="14"/>
      <c r="K111" s="14">
        <f t="shared" si="7"/>
        <v>0</v>
      </c>
    </row>
    <row r="112" spans="1:11" x14ac:dyDescent="0.3">
      <c r="A112" s="14" t="s">
        <v>194</v>
      </c>
      <c r="B112" s="14">
        <v>85</v>
      </c>
      <c r="C112" s="14">
        <v>24</v>
      </c>
      <c r="D112" s="14"/>
      <c r="E112" s="14"/>
      <c r="F112" s="14"/>
      <c r="G112" s="55">
        <f t="shared" si="3"/>
        <v>0</v>
      </c>
      <c r="H112" s="14"/>
      <c r="I112" s="14">
        <f t="shared" si="6"/>
        <v>0</v>
      </c>
      <c r="J112" s="14"/>
      <c r="K112" s="14">
        <f t="shared" si="7"/>
        <v>0</v>
      </c>
    </row>
    <row r="113" spans="1:11" x14ac:dyDescent="0.3">
      <c r="A113" s="14" t="s">
        <v>195</v>
      </c>
      <c r="B113" s="14">
        <v>85</v>
      </c>
      <c r="C113" s="14">
        <v>24</v>
      </c>
      <c r="D113" s="14"/>
      <c r="E113" s="14"/>
      <c r="F113" s="14"/>
      <c r="G113" s="55">
        <f t="shared" si="3"/>
        <v>0</v>
      </c>
      <c r="H113" s="14"/>
      <c r="I113" s="14">
        <f t="shared" si="6"/>
        <v>0</v>
      </c>
      <c r="J113" s="14"/>
      <c r="K113" s="14">
        <f t="shared" si="7"/>
        <v>0</v>
      </c>
    </row>
    <row r="114" spans="1:11" x14ac:dyDescent="0.3">
      <c r="A114" s="14" t="s">
        <v>196</v>
      </c>
      <c r="B114" s="14">
        <v>85</v>
      </c>
      <c r="C114" s="14">
        <v>24</v>
      </c>
      <c r="D114" s="14"/>
      <c r="E114" s="14"/>
      <c r="F114" s="14"/>
      <c r="G114" s="55">
        <f t="shared" si="3"/>
        <v>0</v>
      </c>
      <c r="H114" s="14"/>
      <c r="I114" s="14">
        <f t="shared" si="6"/>
        <v>0</v>
      </c>
      <c r="J114" s="14"/>
      <c r="K114" s="14">
        <f t="shared" si="7"/>
        <v>0</v>
      </c>
    </row>
    <row r="115" spans="1:11" x14ac:dyDescent="0.3">
      <c r="A115" s="14" t="s">
        <v>198</v>
      </c>
      <c r="B115" s="14">
        <v>85</v>
      </c>
      <c r="C115" s="14">
        <v>24</v>
      </c>
      <c r="D115" s="14"/>
      <c r="E115" s="14"/>
      <c r="F115" s="14"/>
      <c r="G115" s="55">
        <f t="shared" si="3"/>
        <v>0</v>
      </c>
      <c r="H115" s="14"/>
      <c r="I115" s="14">
        <f t="shared" si="6"/>
        <v>0</v>
      </c>
      <c r="J115" s="14"/>
      <c r="K115" s="14">
        <f t="shared" si="7"/>
        <v>0</v>
      </c>
    </row>
    <row r="116" spans="1:11" x14ac:dyDescent="0.3">
      <c r="A116" s="14" t="s">
        <v>199</v>
      </c>
      <c r="B116" s="14">
        <v>85</v>
      </c>
      <c r="C116" s="14">
        <v>24</v>
      </c>
      <c r="D116" s="14"/>
      <c r="E116" s="14"/>
      <c r="F116" s="14"/>
      <c r="G116" s="55">
        <f t="shared" si="3"/>
        <v>0</v>
      </c>
      <c r="H116" s="14"/>
      <c r="I116" s="14">
        <f t="shared" si="6"/>
        <v>0</v>
      </c>
      <c r="J116" s="14"/>
      <c r="K116" s="14">
        <f t="shared" si="7"/>
        <v>0</v>
      </c>
    </row>
    <row r="117" spans="1:11" x14ac:dyDescent="0.3">
      <c r="A117" s="14" t="s">
        <v>197</v>
      </c>
      <c r="B117" s="14">
        <v>85</v>
      </c>
      <c r="C117" s="14">
        <v>24</v>
      </c>
      <c r="D117" s="14"/>
      <c r="E117" s="14"/>
      <c r="F117" s="14"/>
      <c r="G117" s="55">
        <f t="shared" si="3"/>
        <v>0</v>
      </c>
      <c r="H117" s="14"/>
      <c r="I117" s="14">
        <f t="shared" si="6"/>
        <v>0</v>
      </c>
      <c r="J117" s="14"/>
      <c r="K117" s="14">
        <f t="shared" si="7"/>
        <v>0</v>
      </c>
    </row>
    <row r="118" spans="1:11" x14ac:dyDescent="0.3">
      <c r="A118" s="14" t="s">
        <v>200</v>
      </c>
      <c r="B118" s="14">
        <v>85</v>
      </c>
      <c r="C118" s="14">
        <v>24</v>
      </c>
      <c r="D118" s="14"/>
      <c r="E118" s="14"/>
      <c r="F118" s="14"/>
      <c r="G118" s="55">
        <f t="shared" si="3"/>
        <v>0</v>
      </c>
      <c r="H118" s="14"/>
      <c r="I118" s="14">
        <f t="shared" si="6"/>
        <v>0</v>
      </c>
      <c r="J118" s="14"/>
      <c r="K118" s="14">
        <f t="shared" si="7"/>
        <v>0</v>
      </c>
    </row>
    <row r="119" spans="1:11" x14ac:dyDescent="0.3">
      <c r="A119" s="14" t="s">
        <v>201</v>
      </c>
      <c r="B119" s="14">
        <v>85</v>
      </c>
      <c r="C119" s="14">
        <v>24</v>
      </c>
      <c r="D119" s="14"/>
      <c r="E119" s="14"/>
      <c r="F119" s="14"/>
      <c r="G119" s="55">
        <f t="shared" si="3"/>
        <v>0</v>
      </c>
      <c r="H119" s="14"/>
      <c r="I119" s="14">
        <f t="shared" si="6"/>
        <v>0</v>
      </c>
      <c r="J119" s="14"/>
      <c r="K119" s="14">
        <f t="shared" si="7"/>
        <v>0</v>
      </c>
    </row>
    <row r="120" spans="1:11" x14ac:dyDescent="0.3">
      <c r="A120" s="14" t="s">
        <v>202</v>
      </c>
      <c r="B120" s="14">
        <v>85</v>
      </c>
      <c r="C120" s="14">
        <v>24</v>
      </c>
      <c r="D120" s="14"/>
      <c r="E120" s="14"/>
      <c r="F120" s="14"/>
      <c r="G120" s="55">
        <f t="shared" si="3"/>
        <v>0</v>
      </c>
      <c r="H120" s="14"/>
      <c r="I120" s="14">
        <f t="shared" si="6"/>
        <v>0</v>
      </c>
      <c r="J120" s="14"/>
      <c r="K120" s="14">
        <f t="shared" si="7"/>
        <v>0</v>
      </c>
    </row>
    <row r="121" spans="1:11" x14ac:dyDescent="0.3">
      <c r="A121" s="14" t="s">
        <v>59</v>
      </c>
      <c r="B121" s="14">
        <v>500</v>
      </c>
      <c r="C121" s="14">
        <v>20</v>
      </c>
      <c r="D121" s="14"/>
      <c r="E121" s="14"/>
      <c r="F121" s="14"/>
      <c r="G121" s="55">
        <f t="shared" si="3"/>
        <v>0</v>
      </c>
      <c r="H121" s="14"/>
      <c r="I121" s="14">
        <f t="shared" si="6"/>
        <v>0</v>
      </c>
      <c r="J121" s="14"/>
      <c r="K121" s="14">
        <f t="shared" si="7"/>
        <v>0</v>
      </c>
    </row>
    <row r="122" spans="1:11" x14ac:dyDescent="0.3">
      <c r="A122" s="14" t="s">
        <v>60</v>
      </c>
      <c r="B122" s="14">
        <v>480</v>
      </c>
      <c r="C122" s="14">
        <v>20</v>
      </c>
      <c r="D122" s="14"/>
      <c r="E122" s="14"/>
      <c r="F122" s="14"/>
      <c r="G122" s="55">
        <f t="shared" si="3"/>
        <v>0</v>
      </c>
      <c r="H122" s="14"/>
      <c r="I122" s="14">
        <f t="shared" si="6"/>
        <v>0</v>
      </c>
      <c r="J122" s="14"/>
      <c r="K122" s="14">
        <f t="shared" si="7"/>
        <v>0</v>
      </c>
    </row>
    <row r="123" spans="1:11" x14ac:dyDescent="0.3">
      <c r="A123" s="14" t="s">
        <v>78</v>
      </c>
      <c r="B123" s="14">
        <v>480</v>
      </c>
      <c r="C123" s="14">
        <v>20</v>
      </c>
      <c r="D123" s="14"/>
      <c r="E123" s="14"/>
      <c r="F123" s="14"/>
      <c r="G123" s="55">
        <f t="shared" si="3"/>
        <v>0</v>
      </c>
      <c r="H123" s="14"/>
      <c r="I123" s="14">
        <f t="shared" si="6"/>
        <v>0</v>
      </c>
      <c r="J123" s="14"/>
      <c r="K123" s="14">
        <f t="shared" si="7"/>
        <v>0</v>
      </c>
    </row>
    <row r="124" spans="1:11" x14ac:dyDescent="0.3">
      <c r="A124" s="14" t="s">
        <v>61</v>
      </c>
      <c r="B124" s="14">
        <v>480</v>
      </c>
      <c r="C124" s="14">
        <v>20</v>
      </c>
      <c r="D124" s="14"/>
      <c r="E124" s="14"/>
      <c r="F124" s="14"/>
      <c r="G124" s="55">
        <f t="shared" si="3"/>
        <v>0</v>
      </c>
      <c r="H124" s="14"/>
      <c r="I124" s="14">
        <f t="shared" si="6"/>
        <v>0</v>
      </c>
      <c r="J124" s="14"/>
      <c r="K124" s="14">
        <f t="shared" si="7"/>
        <v>0</v>
      </c>
    </row>
    <row r="125" spans="1:11" x14ac:dyDescent="0.3">
      <c r="A125" s="14" t="s">
        <v>62</v>
      </c>
      <c r="B125" s="14">
        <v>440</v>
      </c>
      <c r="C125" s="14">
        <v>20</v>
      </c>
      <c r="D125" s="14"/>
      <c r="E125" s="14"/>
      <c r="F125" s="14"/>
      <c r="G125" s="55">
        <f t="shared" si="3"/>
        <v>0</v>
      </c>
      <c r="H125" s="14"/>
      <c r="I125" s="14">
        <f t="shared" si="6"/>
        <v>0</v>
      </c>
      <c r="J125" s="14"/>
      <c r="K125" s="14">
        <f t="shared" si="7"/>
        <v>0</v>
      </c>
    </row>
    <row r="126" spans="1:11" x14ac:dyDescent="0.3">
      <c r="A126" s="14" t="s">
        <v>203</v>
      </c>
      <c r="B126" s="14">
        <v>500</v>
      </c>
      <c r="C126" s="14">
        <v>20</v>
      </c>
      <c r="D126" s="14"/>
      <c r="E126" s="14"/>
      <c r="F126" s="14"/>
      <c r="G126" s="55">
        <f t="shared" si="3"/>
        <v>0</v>
      </c>
      <c r="H126" s="14"/>
      <c r="I126" s="14">
        <f t="shared" si="6"/>
        <v>0</v>
      </c>
      <c r="J126" s="14"/>
      <c r="K126" s="14">
        <f t="shared" si="7"/>
        <v>0</v>
      </c>
    </row>
    <row r="127" spans="1:11" x14ac:dyDescent="0.3">
      <c r="A127" s="14" t="s">
        <v>204</v>
      </c>
      <c r="B127" s="14">
        <v>500</v>
      </c>
      <c r="C127" s="14">
        <v>20</v>
      </c>
      <c r="D127" s="14"/>
      <c r="E127" s="14"/>
      <c r="F127" s="14"/>
      <c r="G127" s="55">
        <f t="shared" si="3"/>
        <v>0</v>
      </c>
      <c r="H127" s="14"/>
      <c r="I127" s="14">
        <f t="shared" si="6"/>
        <v>0</v>
      </c>
      <c r="J127" s="14"/>
      <c r="K127" s="14">
        <f t="shared" si="7"/>
        <v>0</v>
      </c>
    </row>
    <row r="128" spans="1:11" x14ac:dyDescent="0.3">
      <c r="A128" s="14" t="s">
        <v>205</v>
      </c>
      <c r="B128" s="14">
        <v>900</v>
      </c>
      <c r="C128" s="14">
        <v>20</v>
      </c>
      <c r="D128" s="14"/>
      <c r="E128" s="14"/>
      <c r="F128" s="14"/>
      <c r="G128" s="55">
        <f t="shared" si="3"/>
        <v>0</v>
      </c>
      <c r="H128" s="14"/>
      <c r="I128" s="14">
        <f t="shared" si="6"/>
        <v>0</v>
      </c>
      <c r="J128" s="14"/>
      <c r="K128" s="14">
        <f t="shared" si="7"/>
        <v>0</v>
      </c>
    </row>
    <row r="129" spans="1:11" x14ac:dyDescent="0.3">
      <c r="A129" s="14" t="s">
        <v>354</v>
      </c>
      <c r="B129" s="14">
        <v>245</v>
      </c>
      <c r="C129" s="14">
        <v>20</v>
      </c>
      <c r="D129" s="14"/>
      <c r="E129" s="14"/>
      <c r="F129" s="14"/>
      <c r="G129" s="55">
        <f t="shared" si="3"/>
        <v>0</v>
      </c>
      <c r="H129" s="14"/>
      <c r="I129" s="14">
        <f t="shared" si="6"/>
        <v>0</v>
      </c>
      <c r="J129" s="14"/>
      <c r="K129" s="14">
        <f t="shared" si="7"/>
        <v>0</v>
      </c>
    </row>
    <row r="130" spans="1:11" x14ac:dyDescent="0.3">
      <c r="A130" s="14" t="s">
        <v>63</v>
      </c>
      <c r="B130" s="14">
        <v>192</v>
      </c>
      <c r="C130" s="14">
        <v>20</v>
      </c>
      <c r="D130" s="14"/>
      <c r="E130" s="14"/>
      <c r="F130" s="14"/>
      <c r="G130" s="55">
        <f t="shared" si="3"/>
        <v>0</v>
      </c>
      <c r="H130" s="14"/>
      <c r="I130" s="14">
        <f t="shared" si="6"/>
        <v>0</v>
      </c>
      <c r="J130" s="14"/>
      <c r="K130" s="14">
        <f t="shared" si="7"/>
        <v>0</v>
      </c>
    </row>
    <row r="131" spans="1:11" x14ac:dyDescent="0.3">
      <c r="A131" s="14" t="s">
        <v>64</v>
      </c>
      <c r="B131" s="14">
        <v>119</v>
      </c>
      <c r="C131" s="14">
        <v>20</v>
      </c>
      <c r="D131" s="14"/>
      <c r="E131" s="14"/>
      <c r="F131" s="14"/>
      <c r="G131" s="55">
        <f t="shared" si="3"/>
        <v>0</v>
      </c>
      <c r="H131" s="14"/>
      <c r="I131" s="14">
        <f t="shared" si="6"/>
        <v>0</v>
      </c>
      <c r="J131" s="14"/>
      <c r="K131" s="14">
        <f t="shared" si="7"/>
        <v>0</v>
      </c>
    </row>
    <row r="132" spans="1:11" x14ac:dyDescent="0.3">
      <c r="A132" s="14" t="s">
        <v>65</v>
      </c>
      <c r="B132" s="14">
        <v>119</v>
      </c>
      <c r="C132" s="14">
        <v>20</v>
      </c>
      <c r="D132" s="14"/>
      <c r="E132" s="14"/>
      <c r="F132" s="14"/>
      <c r="G132" s="55">
        <f t="shared" si="3"/>
        <v>0</v>
      </c>
      <c r="H132" s="14"/>
      <c r="I132" s="14">
        <f t="shared" ref="I132:I195" si="8">+G132+H132</f>
        <v>0</v>
      </c>
      <c r="J132" s="14"/>
      <c r="K132" s="14">
        <f t="shared" ref="K132:K195" si="9">+I132-J132</f>
        <v>0</v>
      </c>
    </row>
    <row r="133" spans="1:11" x14ac:dyDescent="0.3">
      <c r="A133" s="14" t="s">
        <v>66</v>
      </c>
      <c r="B133" s="14">
        <v>245</v>
      </c>
      <c r="C133" s="14">
        <v>20</v>
      </c>
      <c r="D133" s="14"/>
      <c r="E133" s="14"/>
      <c r="F133" s="14"/>
      <c r="G133" s="55">
        <f t="shared" si="3"/>
        <v>0</v>
      </c>
      <c r="H133" s="14"/>
      <c r="I133" s="14">
        <f t="shared" si="8"/>
        <v>0</v>
      </c>
      <c r="J133" s="14"/>
      <c r="K133" s="14">
        <f t="shared" si="9"/>
        <v>0</v>
      </c>
    </row>
    <row r="134" spans="1:11" x14ac:dyDescent="0.3">
      <c r="A134" s="14" t="s">
        <v>67</v>
      </c>
      <c r="B134" s="14">
        <v>192</v>
      </c>
      <c r="C134" s="14">
        <v>20</v>
      </c>
      <c r="D134" s="14"/>
      <c r="E134" s="14"/>
      <c r="F134" s="14"/>
      <c r="G134" s="55">
        <f t="shared" ref="G134:G197" si="10">((D134*C134)+E134)*B134+F134</f>
        <v>0</v>
      </c>
      <c r="H134" s="14"/>
      <c r="I134" s="14">
        <f t="shared" si="8"/>
        <v>0</v>
      </c>
      <c r="J134" s="14"/>
      <c r="K134" s="14">
        <f t="shared" si="9"/>
        <v>0</v>
      </c>
    </row>
    <row r="135" spans="1:11" x14ac:dyDescent="0.3">
      <c r="A135" s="14" t="s">
        <v>68</v>
      </c>
      <c r="B135" s="14">
        <v>119</v>
      </c>
      <c r="C135" s="14">
        <v>20</v>
      </c>
      <c r="D135" s="14"/>
      <c r="E135" s="14"/>
      <c r="F135" s="14"/>
      <c r="G135" s="55">
        <f t="shared" si="10"/>
        <v>0</v>
      </c>
      <c r="H135" s="14"/>
      <c r="I135" s="14">
        <f t="shared" si="8"/>
        <v>0</v>
      </c>
      <c r="J135" s="14"/>
      <c r="K135" s="14">
        <f t="shared" si="9"/>
        <v>0</v>
      </c>
    </row>
    <row r="136" spans="1:11" x14ac:dyDescent="0.3">
      <c r="A136" s="14" t="s">
        <v>79</v>
      </c>
      <c r="B136" s="14">
        <v>170</v>
      </c>
      <c r="C136" s="14">
        <v>20</v>
      </c>
      <c r="D136" s="14"/>
      <c r="E136" s="14"/>
      <c r="F136" s="14"/>
      <c r="G136" s="55">
        <f t="shared" si="10"/>
        <v>0</v>
      </c>
      <c r="H136" s="14"/>
      <c r="I136" s="14">
        <f t="shared" si="8"/>
        <v>0</v>
      </c>
      <c r="J136" s="14"/>
      <c r="K136" s="14">
        <f t="shared" si="9"/>
        <v>0</v>
      </c>
    </row>
    <row r="137" spans="1:11" x14ac:dyDescent="0.3">
      <c r="A137" s="14" t="s">
        <v>206</v>
      </c>
      <c r="B137" s="14">
        <v>240</v>
      </c>
      <c r="C137" s="14">
        <v>38</v>
      </c>
      <c r="D137" s="14"/>
      <c r="E137" s="14"/>
      <c r="F137" s="14"/>
      <c r="G137" s="55">
        <f t="shared" si="10"/>
        <v>0</v>
      </c>
      <c r="H137" s="14"/>
      <c r="I137" s="14">
        <f t="shared" si="8"/>
        <v>0</v>
      </c>
      <c r="J137" s="14"/>
      <c r="K137" s="14">
        <f t="shared" si="9"/>
        <v>0</v>
      </c>
    </row>
    <row r="138" spans="1:11" x14ac:dyDescent="0.3">
      <c r="A138" s="14" t="s">
        <v>207</v>
      </c>
      <c r="B138" s="14">
        <v>240</v>
      </c>
      <c r="C138" s="14">
        <v>38</v>
      </c>
      <c r="D138" s="14"/>
      <c r="E138" s="14"/>
      <c r="F138" s="14"/>
      <c r="G138" s="55">
        <f t="shared" si="10"/>
        <v>0</v>
      </c>
      <c r="H138" s="14"/>
      <c r="I138" s="14">
        <f t="shared" si="8"/>
        <v>0</v>
      </c>
      <c r="J138" s="14"/>
      <c r="K138" s="14">
        <f t="shared" si="9"/>
        <v>0</v>
      </c>
    </row>
    <row r="139" spans="1:11" x14ac:dyDescent="0.3">
      <c r="A139" s="14" t="s">
        <v>208</v>
      </c>
      <c r="B139" s="14">
        <v>160</v>
      </c>
      <c r="C139" s="14">
        <v>34</v>
      </c>
      <c r="D139" s="14"/>
      <c r="E139" s="14"/>
      <c r="F139" s="14"/>
      <c r="G139" s="55">
        <f t="shared" si="10"/>
        <v>0</v>
      </c>
      <c r="H139" s="14"/>
      <c r="I139" s="14">
        <f t="shared" si="8"/>
        <v>0</v>
      </c>
      <c r="J139" s="14"/>
      <c r="K139" s="14">
        <f t="shared" si="9"/>
        <v>0</v>
      </c>
    </row>
    <row r="140" spans="1:11" x14ac:dyDescent="0.3">
      <c r="A140" s="14" t="s">
        <v>209</v>
      </c>
      <c r="B140" s="14">
        <v>135</v>
      </c>
      <c r="C140" s="14">
        <v>34</v>
      </c>
      <c r="D140" s="14"/>
      <c r="E140" s="14"/>
      <c r="F140" s="14"/>
      <c r="G140" s="55">
        <f t="shared" si="10"/>
        <v>0</v>
      </c>
      <c r="H140" s="14"/>
      <c r="I140" s="14">
        <f t="shared" si="8"/>
        <v>0</v>
      </c>
      <c r="J140" s="14"/>
      <c r="K140" s="14">
        <f t="shared" si="9"/>
        <v>0</v>
      </c>
    </row>
    <row r="141" spans="1:11" x14ac:dyDescent="0.3">
      <c r="A141" s="14" t="s">
        <v>210</v>
      </c>
      <c r="B141" s="14">
        <v>116</v>
      </c>
      <c r="C141" s="14">
        <v>24</v>
      </c>
      <c r="D141" s="14"/>
      <c r="E141" s="14"/>
      <c r="F141" s="14"/>
      <c r="G141" s="55">
        <f t="shared" si="10"/>
        <v>0</v>
      </c>
      <c r="H141" s="14"/>
      <c r="I141" s="14">
        <f t="shared" si="8"/>
        <v>0</v>
      </c>
      <c r="J141" s="14"/>
      <c r="K141" s="14">
        <f t="shared" si="9"/>
        <v>0</v>
      </c>
    </row>
    <row r="142" spans="1:11" x14ac:dyDescent="0.3">
      <c r="A142" s="14" t="s">
        <v>211</v>
      </c>
      <c r="B142" s="14">
        <v>80</v>
      </c>
      <c r="C142" s="14">
        <v>18</v>
      </c>
      <c r="D142" s="14"/>
      <c r="E142" s="14"/>
      <c r="F142" s="14"/>
      <c r="G142" s="55">
        <f t="shared" si="10"/>
        <v>0</v>
      </c>
      <c r="H142" s="14"/>
      <c r="I142" s="14">
        <f t="shared" si="8"/>
        <v>0</v>
      </c>
      <c r="J142" s="14"/>
      <c r="K142" s="14">
        <f t="shared" si="9"/>
        <v>0</v>
      </c>
    </row>
    <row r="143" spans="1:11" x14ac:dyDescent="0.3">
      <c r="A143" s="14" t="s">
        <v>212</v>
      </c>
      <c r="B143" s="14">
        <v>240</v>
      </c>
      <c r="C143" s="14">
        <v>38</v>
      </c>
      <c r="D143" s="14"/>
      <c r="E143" s="14"/>
      <c r="F143" s="14"/>
      <c r="G143" s="55">
        <f t="shared" si="10"/>
        <v>0</v>
      </c>
      <c r="H143" s="14"/>
      <c r="I143" s="14">
        <f t="shared" si="8"/>
        <v>0</v>
      </c>
      <c r="J143" s="14"/>
      <c r="K143" s="14">
        <f t="shared" si="9"/>
        <v>0</v>
      </c>
    </row>
    <row r="144" spans="1:11" x14ac:dyDescent="0.3">
      <c r="A144" s="14" t="s">
        <v>213</v>
      </c>
      <c r="B144" s="14">
        <v>240</v>
      </c>
      <c r="C144" s="14">
        <v>38</v>
      </c>
      <c r="D144" s="14"/>
      <c r="E144" s="14"/>
      <c r="F144" s="14"/>
      <c r="G144" s="55">
        <f t="shared" si="10"/>
        <v>0</v>
      </c>
      <c r="H144" s="14"/>
      <c r="I144" s="14">
        <f t="shared" si="8"/>
        <v>0</v>
      </c>
      <c r="J144" s="14"/>
      <c r="K144" s="14">
        <f t="shared" si="9"/>
        <v>0</v>
      </c>
    </row>
    <row r="145" spans="1:11" x14ac:dyDescent="0.3">
      <c r="A145" s="14" t="s">
        <v>214</v>
      </c>
      <c r="B145" s="14">
        <v>160</v>
      </c>
      <c r="C145" s="14">
        <v>34</v>
      </c>
      <c r="D145" s="14"/>
      <c r="E145" s="14"/>
      <c r="F145" s="14"/>
      <c r="G145" s="55">
        <f t="shared" si="10"/>
        <v>0</v>
      </c>
      <c r="H145" s="14"/>
      <c r="I145" s="14">
        <f t="shared" si="8"/>
        <v>0</v>
      </c>
      <c r="J145" s="14"/>
      <c r="K145" s="14">
        <f t="shared" si="9"/>
        <v>0</v>
      </c>
    </row>
    <row r="146" spans="1:11" x14ac:dyDescent="0.3">
      <c r="A146" s="14" t="s">
        <v>215</v>
      </c>
      <c r="B146" s="14">
        <v>135</v>
      </c>
      <c r="C146" s="14">
        <v>34</v>
      </c>
      <c r="D146" s="14"/>
      <c r="E146" s="14"/>
      <c r="F146" s="14"/>
      <c r="G146" s="55">
        <f t="shared" si="10"/>
        <v>0</v>
      </c>
      <c r="H146" s="14"/>
      <c r="I146" s="14">
        <f t="shared" si="8"/>
        <v>0</v>
      </c>
      <c r="J146" s="14"/>
      <c r="K146" s="14">
        <f t="shared" si="9"/>
        <v>0</v>
      </c>
    </row>
    <row r="147" spans="1:11" x14ac:dyDescent="0.3">
      <c r="A147" s="14" t="s">
        <v>216</v>
      </c>
      <c r="B147" s="14">
        <v>116</v>
      </c>
      <c r="C147" s="14">
        <v>24</v>
      </c>
      <c r="D147" s="14"/>
      <c r="E147" s="14"/>
      <c r="F147" s="14"/>
      <c r="G147" s="55">
        <f t="shared" si="10"/>
        <v>0</v>
      </c>
      <c r="H147" s="14"/>
      <c r="I147" s="14">
        <f t="shared" si="8"/>
        <v>0</v>
      </c>
      <c r="J147" s="14"/>
      <c r="K147" s="14">
        <f t="shared" si="9"/>
        <v>0</v>
      </c>
    </row>
    <row r="148" spans="1:11" x14ac:dyDescent="0.3">
      <c r="A148" s="14" t="s">
        <v>217</v>
      </c>
      <c r="B148" s="14">
        <v>80</v>
      </c>
      <c r="C148" s="14">
        <v>18</v>
      </c>
      <c r="D148" s="14"/>
      <c r="E148" s="14"/>
      <c r="F148" s="14"/>
      <c r="G148" s="55">
        <f t="shared" si="10"/>
        <v>0</v>
      </c>
      <c r="H148" s="14"/>
      <c r="I148" s="14">
        <f t="shared" si="8"/>
        <v>0</v>
      </c>
      <c r="J148" s="14"/>
      <c r="K148" s="14">
        <f t="shared" si="9"/>
        <v>0</v>
      </c>
    </row>
    <row r="149" spans="1:11" x14ac:dyDescent="0.3">
      <c r="A149" s="14" t="s">
        <v>89</v>
      </c>
      <c r="B149" s="14">
        <v>240</v>
      </c>
      <c r="C149" s="14">
        <v>38</v>
      </c>
      <c r="D149" s="14"/>
      <c r="E149" s="14"/>
      <c r="F149" s="14"/>
      <c r="G149" s="55">
        <f t="shared" si="10"/>
        <v>0</v>
      </c>
      <c r="H149" s="14"/>
      <c r="I149" s="14">
        <f t="shared" si="8"/>
        <v>0</v>
      </c>
      <c r="J149" s="14"/>
      <c r="K149" s="14">
        <f t="shared" si="9"/>
        <v>0</v>
      </c>
    </row>
    <row r="150" spans="1:11" x14ac:dyDescent="0.3">
      <c r="A150" s="14" t="s">
        <v>90</v>
      </c>
      <c r="B150" s="14">
        <v>240</v>
      </c>
      <c r="C150" s="14">
        <v>38</v>
      </c>
      <c r="D150" s="14"/>
      <c r="E150" s="14"/>
      <c r="F150" s="14"/>
      <c r="G150" s="55">
        <f t="shared" si="10"/>
        <v>0</v>
      </c>
      <c r="H150" s="14"/>
      <c r="I150" s="14">
        <f t="shared" si="8"/>
        <v>0</v>
      </c>
      <c r="J150" s="14"/>
      <c r="K150" s="14">
        <f t="shared" si="9"/>
        <v>0</v>
      </c>
    </row>
    <row r="151" spans="1:11" x14ac:dyDescent="0.3">
      <c r="A151" s="14" t="s">
        <v>91</v>
      </c>
      <c r="B151" s="14">
        <v>180</v>
      </c>
      <c r="C151" s="14">
        <v>36</v>
      </c>
      <c r="D151" s="14"/>
      <c r="E151" s="14"/>
      <c r="F151" s="14"/>
      <c r="G151" s="55">
        <f t="shared" si="10"/>
        <v>0</v>
      </c>
      <c r="H151" s="14"/>
      <c r="I151" s="14">
        <f t="shared" si="8"/>
        <v>0</v>
      </c>
      <c r="J151" s="14"/>
      <c r="K151" s="14">
        <f t="shared" si="9"/>
        <v>0</v>
      </c>
    </row>
    <row r="152" spans="1:11" x14ac:dyDescent="0.3">
      <c r="A152" s="14" t="s">
        <v>92</v>
      </c>
      <c r="B152" s="14">
        <v>160</v>
      </c>
      <c r="C152" s="14">
        <v>34</v>
      </c>
      <c r="D152" s="14"/>
      <c r="E152" s="14"/>
      <c r="F152" s="14"/>
      <c r="G152" s="55">
        <f t="shared" si="10"/>
        <v>0</v>
      </c>
      <c r="H152" s="14"/>
      <c r="I152" s="14">
        <f t="shared" si="8"/>
        <v>0</v>
      </c>
      <c r="J152" s="14"/>
      <c r="K152" s="14">
        <f t="shared" si="9"/>
        <v>0</v>
      </c>
    </row>
    <row r="153" spans="1:11" x14ac:dyDescent="0.3">
      <c r="A153" s="14" t="s">
        <v>93</v>
      </c>
      <c r="B153" s="14">
        <v>135</v>
      </c>
      <c r="C153" s="14">
        <v>34</v>
      </c>
      <c r="D153" s="14"/>
      <c r="E153" s="14"/>
      <c r="F153" s="14"/>
      <c r="G153" s="55">
        <f t="shared" si="10"/>
        <v>0</v>
      </c>
      <c r="H153" s="14"/>
      <c r="I153" s="14">
        <f t="shared" si="8"/>
        <v>0</v>
      </c>
      <c r="J153" s="14"/>
      <c r="K153" s="14">
        <f t="shared" si="9"/>
        <v>0</v>
      </c>
    </row>
    <row r="154" spans="1:11" x14ac:dyDescent="0.3">
      <c r="A154" s="14" t="s">
        <v>94</v>
      </c>
      <c r="B154" s="14">
        <v>144</v>
      </c>
      <c r="C154" s="14">
        <v>28</v>
      </c>
      <c r="D154" s="14"/>
      <c r="E154" s="14"/>
      <c r="F154" s="14"/>
      <c r="G154" s="55">
        <f t="shared" si="10"/>
        <v>0</v>
      </c>
      <c r="H154" s="14"/>
      <c r="I154" s="14">
        <f t="shared" si="8"/>
        <v>0</v>
      </c>
      <c r="J154" s="14"/>
      <c r="K154" s="14">
        <f t="shared" si="9"/>
        <v>0</v>
      </c>
    </row>
    <row r="155" spans="1:11" x14ac:dyDescent="0.3">
      <c r="A155" s="14" t="s">
        <v>95</v>
      </c>
      <c r="B155" s="14">
        <v>116</v>
      </c>
      <c r="C155" s="14">
        <v>24</v>
      </c>
      <c r="D155" s="14"/>
      <c r="E155" s="14"/>
      <c r="F155" s="14"/>
      <c r="G155" s="55">
        <f t="shared" si="10"/>
        <v>0</v>
      </c>
      <c r="H155" s="14"/>
      <c r="I155" s="14">
        <f t="shared" si="8"/>
        <v>0</v>
      </c>
      <c r="J155" s="14"/>
      <c r="K155" s="14">
        <f t="shared" si="9"/>
        <v>0</v>
      </c>
    </row>
    <row r="156" spans="1:11" x14ac:dyDescent="0.3">
      <c r="A156" s="14" t="s">
        <v>96</v>
      </c>
      <c r="B156" s="14">
        <v>80</v>
      </c>
      <c r="C156" s="14">
        <v>18</v>
      </c>
      <c r="D156" s="14"/>
      <c r="E156" s="14"/>
      <c r="F156" s="14"/>
      <c r="G156" s="55">
        <f t="shared" si="10"/>
        <v>0</v>
      </c>
      <c r="H156" s="14"/>
      <c r="I156" s="14">
        <f t="shared" si="8"/>
        <v>0</v>
      </c>
      <c r="J156" s="14"/>
      <c r="K156" s="14">
        <f t="shared" si="9"/>
        <v>0</v>
      </c>
    </row>
    <row r="157" spans="1:11" x14ac:dyDescent="0.3">
      <c r="A157" s="14" t="s">
        <v>97</v>
      </c>
      <c r="B157" s="14">
        <v>240</v>
      </c>
      <c r="C157" s="14">
        <v>38</v>
      </c>
      <c r="D157" s="14"/>
      <c r="E157" s="14"/>
      <c r="F157" s="14"/>
      <c r="G157" s="55">
        <f t="shared" si="10"/>
        <v>0</v>
      </c>
      <c r="H157" s="14"/>
      <c r="I157" s="14">
        <f t="shared" si="8"/>
        <v>0</v>
      </c>
      <c r="J157" s="14"/>
      <c r="K157" s="14">
        <f t="shared" si="9"/>
        <v>0</v>
      </c>
    </row>
    <row r="158" spans="1:11" x14ac:dyDescent="0.3">
      <c r="A158" s="14" t="s">
        <v>98</v>
      </c>
      <c r="B158" s="14">
        <v>240</v>
      </c>
      <c r="C158" s="14">
        <v>38</v>
      </c>
      <c r="D158" s="14"/>
      <c r="E158" s="14"/>
      <c r="F158" s="14"/>
      <c r="G158" s="55">
        <f t="shared" si="10"/>
        <v>0</v>
      </c>
      <c r="H158" s="14"/>
      <c r="I158" s="14">
        <f t="shared" si="8"/>
        <v>0</v>
      </c>
      <c r="J158" s="14"/>
      <c r="K158" s="14">
        <f t="shared" si="9"/>
        <v>0</v>
      </c>
    </row>
    <row r="159" spans="1:11" x14ac:dyDescent="0.3">
      <c r="A159" s="14" t="s">
        <v>99</v>
      </c>
      <c r="B159" s="14">
        <v>180</v>
      </c>
      <c r="C159" s="14">
        <v>36</v>
      </c>
      <c r="D159" s="14"/>
      <c r="E159" s="14"/>
      <c r="F159" s="14"/>
      <c r="G159" s="55">
        <f t="shared" si="10"/>
        <v>0</v>
      </c>
      <c r="H159" s="14"/>
      <c r="I159" s="14">
        <f t="shared" si="8"/>
        <v>0</v>
      </c>
      <c r="J159" s="14"/>
      <c r="K159" s="14">
        <f t="shared" si="9"/>
        <v>0</v>
      </c>
    </row>
    <row r="160" spans="1:11" x14ac:dyDescent="0.3">
      <c r="A160" s="14" t="s">
        <v>100</v>
      </c>
      <c r="B160" s="14">
        <v>160</v>
      </c>
      <c r="C160" s="14">
        <v>34</v>
      </c>
      <c r="D160" s="14"/>
      <c r="E160" s="14"/>
      <c r="F160" s="14"/>
      <c r="G160" s="55">
        <f t="shared" si="10"/>
        <v>0</v>
      </c>
      <c r="H160" s="14"/>
      <c r="I160" s="14">
        <f t="shared" si="8"/>
        <v>0</v>
      </c>
      <c r="J160" s="14"/>
      <c r="K160" s="14">
        <f t="shared" si="9"/>
        <v>0</v>
      </c>
    </row>
    <row r="161" spans="1:11" x14ac:dyDescent="0.3">
      <c r="A161" s="14" t="s">
        <v>101</v>
      </c>
      <c r="B161" s="14">
        <v>135</v>
      </c>
      <c r="C161" s="14">
        <v>34</v>
      </c>
      <c r="D161" s="14"/>
      <c r="E161" s="14"/>
      <c r="F161" s="14"/>
      <c r="G161" s="55">
        <f t="shared" si="10"/>
        <v>0</v>
      </c>
      <c r="H161" s="14"/>
      <c r="I161" s="14">
        <f t="shared" si="8"/>
        <v>0</v>
      </c>
      <c r="J161" s="14"/>
      <c r="K161" s="14">
        <f t="shared" si="9"/>
        <v>0</v>
      </c>
    </row>
    <row r="162" spans="1:11" x14ac:dyDescent="0.3">
      <c r="A162" s="14" t="s">
        <v>102</v>
      </c>
      <c r="B162" s="14">
        <v>144</v>
      </c>
      <c r="C162" s="14">
        <v>28</v>
      </c>
      <c r="D162" s="14"/>
      <c r="E162" s="14"/>
      <c r="F162" s="14"/>
      <c r="G162" s="55">
        <f t="shared" si="10"/>
        <v>0</v>
      </c>
      <c r="H162" s="14"/>
      <c r="I162" s="14">
        <f t="shared" si="8"/>
        <v>0</v>
      </c>
      <c r="J162" s="14"/>
      <c r="K162" s="14">
        <f t="shared" si="9"/>
        <v>0</v>
      </c>
    </row>
    <row r="163" spans="1:11" x14ac:dyDescent="0.3">
      <c r="A163" s="14" t="s">
        <v>103</v>
      </c>
      <c r="B163" s="14">
        <v>116</v>
      </c>
      <c r="C163" s="14">
        <v>24</v>
      </c>
      <c r="D163" s="14"/>
      <c r="E163" s="14"/>
      <c r="F163" s="14"/>
      <c r="G163" s="55">
        <f t="shared" si="10"/>
        <v>0</v>
      </c>
      <c r="H163" s="14"/>
      <c r="I163" s="14">
        <f t="shared" si="8"/>
        <v>0</v>
      </c>
      <c r="J163" s="14"/>
      <c r="K163" s="14">
        <f t="shared" si="9"/>
        <v>0</v>
      </c>
    </row>
    <row r="164" spans="1:11" x14ac:dyDescent="0.3">
      <c r="A164" s="14" t="s">
        <v>104</v>
      </c>
      <c r="B164" s="14">
        <v>80</v>
      </c>
      <c r="C164" s="14">
        <v>22</v>
      </c>
      <c r="D164" s="14"/>
      <c r="E164" s="14"/>
      <c r="F164" s="14"/>
      <c r="G164" s="55">
        <f t="shared" si="10"/>
        <v>0</v>
      </c>
      <c r="H164" s="14"/>
      <c r="I164" s="14">
        <f t="shared" si="8"/>
        <v>0</v>
      </c>
      <c r="J164" s="14"/>
      <c r="K164" s="14">
        <f t="shared" si="9"/>
        <v>0</v>
      </c>
    </row>
    <row r="165" spans="1:11" x14ac:dyDescent="0.3">
      <c r="A165" s="14" t="s">
        <v>105</v>
      </c>
      <c r="B165" s="14">
        <v>144</v>
      </c>
      <c r="C165" s="14">
        <v>28</v>
      </c>
      <c r="D165" s="14"/>
      <c r="E165" s="14"/>
      <c r="F165" s="14"/>
      <c r="G165" s="55">
        <f t="shared" si="10"/>
        <v>0</v>
      </c>
      <c r="H165" s="14"/>
      <c r="I165" s="14">
        <f t="shared" si="8"/>
        <v>0</v>
      </c>
      <c r="J165" s="14"/>
      <c r="K165" s="14">
        <f t="shared" si="9"/>
        <v>0</v>
      </c>
    </row>
    <row r="166" spans="1:11" x14ac:dyDescent="0.3">
      <c r="A166" s="14" t="s">
        <v>106</v>
      </c>
      <c r="B166" s="14">
        <v>130</v>
      </c>
      <c r="C166" s="14">
        <v>24</v>
      </c>
      <c r="D166" s="14"/>
      <c r="E166" s="14"/>
      <c r="F166" s="14"/>
      <c r="G166" s="55">
        <f t="shared" si="10"/>
        <v>0</v>
      </c>
      <c r="H166" s="14"/>
      <c r="I166" s="14">
        <f t="shared" si="8"/>
        <v>0</v>
      </c>
      <c r="J166" s="14"/>
      <c r="K166" s="14">
        <f t="shared" si="9"/>
        <v>0</v>
      </c>
    </row>
    <row r="167" spans="1:11" x14ac:dyDescent="0.3">
      <c r="A167" s="14" t="s">
        <v>107</v>
      </c>
      <c r="B167" s="14">
        <v>131</v>
      </c>
      <c r="C167" s="14">
        <v>24</v>
      </c>
      <c r="D167" s="14"/>
      <c r="E167" s="14"/>
      <c r="F167" s="14"/>
      <c r="G167" s="55">
        <f t="shared" si="10"/>
        <v>0</v>
      </c>
      <c r="H167" s="14"/>
      <c r="I167" s="14">
        <f t="shared" si="8"/>
        <v>0</v>
      </c>
      <c r="J167" s="14"/>
      <c r="K167" s="14">
        <f t="shared" si="9"/>
        <v>0</v>
      </c>
    </row>
    <row r="168" spans="1:11" x14ac:dyDescent="0.3">
      <c r="A168" s="14" t="s">
        <v>108</v>
      </c>
      <c r="B168" s="14">
        <v>131</v>
      </c>
      <c r="C168" s="14">
        <v>20</v>
      </c>
      <c r="D168" s="14"/>
      <c r="E168" s="14"/>
      <c r="F168" s="14"/>
      <c r="G168" s="55">
        <f t="shared" si="10"/>
        <v>0</v>
      </c>
      <c r="H168" s="14"/>
      <c r="I168" s="14">
        <f t="shared" si="8"/>
        <v>0</v>
      </c>
      <c r="J168" s="14"/>
      <c r="K168" s="14">
        <f t="shared" si="9"/>
        <v>0</v>
      </c>
    </row>
    <row r="169" spans="1:11" x14ac:dyDescent="0.3">
      <c r="A169" s="14" t="s">
        <v>109</v>
      </c>
      <c r="B169" s="14">
        <v>108</v>
      </c>
      <c r="C169" s="14">
        <v>20</v>
      </c>
      <c r="D169" s="14"/>
      <c r="E169" s="14"/>
      <c r="F169" s="14"/>
      <c r="G169" s="55">
        <f t="shared" si="10"/>
        <v>0</v>
      </c>
      <c r="H169" s="14"/>
      <c r="I169" s="14">
        <f t="shared" si="8"/>
        <v>0</v>
      </c>
      <c r="J169" s="14"/>
      <c r="K169" s="14">
        <f t="shared" si="9"/>
        <v>0</v>
      </c>
    </row>
    <row r="170" spans="1:11" x14ac:dyDescent="0.3">
      <c r="A170" s="14" t="s">
        <v>110</v>
      </c>
      <c r="B170" s="14">
        <v>135</v>
      </c>
      <c r="C170" s="14">
        <v>34</v>
      </c>
      <c r="D170" s="14"/>
      <c r="E170" s="14"/>
      <c r="F170" s="14"/>
      <c r="G170" s="55">
        <f t="shared" si="10"/>
        <v>0</v>
      </c>
      <c r="H170" s="14"/>
      <c r="I170" s="14">
        <f t="shared" si="8"/>
        <v>0</v>
      </c>
      <c r="J170" s="14"/>
      <c r="K170" s="14">
        <f t="shared" si="9"/>
        <v>0</v>
      </c>
    </row>
    <row r="171" spans="1:11" x14ac:dyDescent="0.3">
      <c r="A171" s="14" t="s">
        <v>111</v>
      </c>
      <c r="B171" s="14">
        <v>135</v>
      </c>
      <c r="C171" s="14">
        <v>22</v>
      </c>
      <c r="D171" s="14"/>
      <c r="E171" s="14"/>
      <c r="F171" s="14"/>
      <c r="G171" s="55">
        <f t="shared" si="10"/>
        <v>0</v>
      </c>
      <c r="H171" s="14"/>
      <c r="I171" s="14">
        <f t="shared" si="8"/>
        <v>0</v>
      </c>
      <c r="J171" s="14"/>
      <c r="K171" s="14">
        <f t="shared" si="9"/>
        <v>0</v>
      </c>
    </row>
    <row r="172" spans="1:11" x14ac:dyDescent="0.3">
      <c r="A172" s="14" t="s">
        <v>112</v>
      </c>
      <c r="B172" s="14">
        <v>80</v>
      </c>
      <c r="C172" s="14">
        <v>18</v>
      </c>
      <c r="D172" s="14"/>
      <c r="E172" s="14"/>
      <c r="F172" s="14"/>
      <c r="G172" s="55">
        <f t="shared" si="10"/>
        <v>0</v>
      </c>
      <c r="H172" s="14"/>
      <c r="I172" s="14">
        <f t="shared" si="8"/>
        <v>0</v>
      </c>
      <c r="J172" s="14"/>
      <c r="K172" s="14">
        <f t="shared" si="9"/>
        <v>0</v>
      </c>
    </row>
    <row r="173" spans="1:11" x14ac:dyDescent="0.3">
      <c r="A173" s="14" t="s">
        <v>350</v>
      </c>
      <c r="B173" s="14">
        <v>77</v>
      </c>
      <c r="C173" s="14">
        <v>18</v>
      </c>
      <c r="D173" s="14"/>
      <c r="E173" s="14"/>
      <c r="F173" s="14"/>
      <c r="G173" s="55">
        <f t="shared" si="10"/>
        <v>0</v>
      </c>
      <c r="H173" s="14"/>
      <c r="I173" s="14">
        <f t="shared" si="8"/>
        <v>0</v>
      </c>
      <c r="J173" s="14"/>
      <c r="K173" s="14">
        <f t="shared" si="9"/>
        <v>0</v>
      </c>
    </row>
    <row r="174" spans="1:11" x14ac:dyDescent="0.3">
      <c r="A174" s="14" t="s">
        <v>113</v>
      </c>
      <c r="B174" s="14">
        <v>126</v>
      </c>
      <c r="C174" s="14">
        <v>22</v>
      </c>
      <c r="D174" s="14"/>
      <c r="E174" s="14"/>
      <c r="F174" s="14"/>
      <c r="G174" s="55">
        <f t="shared" si="10"/>
        <v>0</v>
      </c>
      <c r="H174" s="14"/>
      <c r="I174" s="14">
        <f t="shared" si="8"/>
        <v>0</v>
      </c>
      <c r="J174" s="14"/>
      <c r="K174" s="14">
        <f t="shared" si="9"/>
        <v>0</v>
      </c>
    </row>
    <row r="175" spans="1:11" x14ac:dyDescent="0.3">
      <c r="A175" s="14" t="s">
        <v>114</v>
      </c>
      <c r="B175" s="14">
        <v>144</v>
      </c>
      <c r="C175" s="14">
        <v>28</v>
      </c>
      <c r="D175" s="14"/>
      <c r="E175" s="14"/>
      <c r="F175" s="14"/>
      <c r="G175" s="55">
        <f t="shared" si="10"/>
        <v>0</v>
      </c>
      <c r="H175" s="14"/>
      <c r="I175" s="14">
        <f t="shared" si="8"/>
        <v>0</v>
      </c>
      <c r="J175" s="14"/>
      <c r="K175" s="14">
        <f t="shared" si="9"/>
        <v>0</v>
      </c>
    </row>
    <row r="176" spans="1:11" x14ac:dyDescent="0.3">
      <c r="A176" s="14" t="s">
        <v>115</v>
      </c>
      <c r="B176" s="14">
        <v>240</v>
      </c>
      <c r="C176" s="14">
        <v>38</v>
      </c>
      <c r="D176" s="14"/>
      <c r="E176" s="14"/>
      <c r="F176" s="14"/>
      <c r="G176" s="55">
        <f t="shared" si="10"/>
        <v>0</v>
      </c>
      <c r="H176" s="14"/>
      <c r="I176" s="14">
        <f t="shared" si="8"/>
        <v>0</v>
      </c>
      <c r="J176" s="14"/>
      <c r="K176" s="14">
        <f t="shared" si="9"/>
        <v>0</v>
      </c>
    </row>
    <row r="177" spans="1:11" x14ac:dyDescent="0.3">
      <c r="A177" s="14" t="s">
        <v>116</v>
      </c>
      <c r="B177" s="14">
        <v>160</v>
      </c>
      <c r="C177" s="14">
        <v>34</v>
      </c>
      <c r="D177" s="14"/>
      <c r="E177" s="14"/>
      <c r="F177" s="14"/>
      <c r="G177" s="55">
        <f t="shared" si="10"/>
        <v>0</v>
      </c>
      <c r="H177" s="14"/>
      <c r="I177" s="14">
        <f t="shared" si="8"/>
        <v>0</v>
      </c>
      <c r="J177" s="14"/>
      <c r="K177" s="14">
        <f t="shared" si="9"/>
        <v>0</v>
      </c>
    </row>
    <row r="178" spans="1:11" x14ac:dyDescent="0.3">
      <c r="A178" s="14" t="s">
        <v>117</v>
      </c>
      <c r="B178" s="14">
        <v>135</v>
      </c>
      <c r="C178" s="14">
        <v>34</v>
      </c>
      <c r="D178" s="14"/>
      <c r="E178" s="14"/>
      <c r="F178" s="14"/>
      <c r="G178" s="55">
        <f t="shared" si="10"/>
        <v>0</v>
      </c>
      <c r="H178" s="14"/>
      <c r="I178" s="14">
        <f t="shared" si="8"/>
        <v>0</v>
      </c>
      <c r="J178" s="14"/>
      <c r="K178" s="14">
        <f t="shared" si="9"/>
        <v>0</v>
      </c>
    </row>
    <row r="179" spans="1:11" x14ac:dyDescent="0.3">
      <c r="A179" s="14" t="s">
        <v>118</v>
      </c>
      <c r="B179" s="14">
        <v>144</v>
      </c>
      <c r="C179" s="14">
        <v>28</v>
      </c>
      <c r="D179" s="14"/>
      <c r="E179" s="14"/>
      <c r="F179" s="14"/>
      <c r="G179" s="55">
        <f t="shared" si="10"/>
        <v>0</v>
      </c>
      <c r="H179" s="14"/>
      <c r="I179" s="14">
        <f t="shared" si="8"/>
        <v>0</v>
      </c>
      <c r="J179" s="14"/>
      <c r="K179" s="14">
        <f t="shared" si="9"/>
        <v>0</v>
      </c>
    </row>
    <row r="180" spans="1:11" x14ac:dyDescent="0.3">
      <c r="A180" s="14" t="s">
        <v>119</v>
      </c>
      <c r="B180" s="14">
        <v>116</v>
      </c>
      <c r="C180" s="14">
        <v>24</v>
      </c>
      <c r="D180" s="14"/>
      <c r="E180" s="14"/>
      <c r="F180" s="14"/>
      <c r="G180" s="55">
        <f t="shared" si="10"/>
        <v>0</v>
      </c>
      <c r="H180" s="14"/>
      <c r="I180" s="14">
        <f t="shared" si="8"/>
        <v>0</v>
      </c>
      <c r="J180" s="14"/>
      <c r="K180" s="14">
        <f t="shared" si="9"/>
        <v>0</v>
      </c>
    </row>
    <row r="181" spans="1:11" x14ac:dyDescent="0.3">
      <c r="A181" s="14" t="s">
        <v>351</v>
      </c>
      <c r="B181" s="14">
        <v>80</v>
      </c>
      <c r="C181" s="14">
        <v>22</v>
      </c>
      <c r="D181" s="14"/>
      <c r="E181" s="14"/>
      <c r="F181" s="14"/>
      <c r="G181" s="55">
        <f t="shared" si="10"/>
        <v>0</v>
      </c>
      <c r="H181" s="14"/>
      <c r="I181" s="14">
        <f t="shared" si="8"/>
        <v>0</v>
      </c>
      <c r="J181" s="14"/>
      <c r="K181" s="14">
        <f t="shared" si="9"/>
        <v>0</v>
      </c>
    </row>
    <row r="182" spans="1:11" x14ac:dyDescent="0.3">
      <c r="A182" s="14" t="s">
        <v>120</v>
      </c>
      <c r="B182" s="14">
        <v>240</v>
      </c>
      <c r="C182" s="14">
        <v>38</v>
      </c>
      <c r="D182" s="14"/>
      <c r="E182" s="14"/>
      <c r="F182" s="14"/>
      <c r="G182" s="55">
        <f t="shared" si="10"/>
        <v>0</v>
      </c>
      <c r="H182" s="14"/>
      <c r="I182" s="14">
        <f t="shared" si="8"/>
        <v>0</v>
      </c>
      <c r="J182" s="14"/>
      <c r="K182" s="14">
        <f t="shared" si="9"/>
        <v>0</v>
      </c>
    </row>
    <row r="183" spans="1:11" x14ac:dyDescent="0.3">
      <c r="A183" s="14" t="s">
        <v>121</v>
      </c>
      <c r="B183" s="14">
        <v>240</v>
      </c>
      <c r="C183" s="14">
        <v>38</v>
      </c>
      <c r="D183" s="14"/>
      <c r="E183" s="14"/>
      <c r="F183" s="14"/>
      <c r="G183" s="55">
        <f t="shared" si="10"/>
        <v>0</v>
      </c>
      <c r="H183" s="14"/>
      <c r="I183" s="14">
        <f t="shared" si="8"/>
        <v>0</v>
      </c>
      <c r="J183" s="14"/>
      <c r="K183" s="14">
        <f t="shared" si="9"/>
        <v>0</v>
      </c>
    </row>
    <row r="184" spans="1:11" x14ac:dyDescent="0.3">
      <c r="A184" s="14" t="s">
        <v>122</v>
      </c>
      <c r="B184" s="14">
        <v>180</v>
      </c>
      <c r="C184" s="14">
        <v>36</v>
      </c>
      <c r="D184" s="14"/>
      <c r="E184" s="14"/>
      <c r="F184" s="14"/>
      <c r="G184" s="55">
        <f t="shared" si="10"/>
        <v>0</v>
      </c>
      <c r="H184" s="14"/>
      <c r="I184" s="14">
        <f t="shared" si="8"/>
        <v>0</v>
      </c>
      <c r="J184" s="14"/>
      <c r="K184" s="14">
        <f t="shared" si="9"/>
        <v>0</v>
      </c>
    </row>
    <row r="185" spans="1:11" x14ac:dyDescent="0.3">
      <c r="A185" s="14" t="s">
        <v>123</v>
      </c>
      <c r="B185" s="14">
        <v>160</v>
      </c>
      <c r="C185" s="14">
        <v>34</v>
      </c>
      <c r="D185" s="14"/>
      <c r="E185" s="14"/>
      <c r="F185" s="14"/>
      <c r="G185" s="55">
        <f t="shared" si="10"/>
        <v>0</v>
      </c>
      <c r="H185" s="14"/>
      <c r="I185" s="14">
        <f t="shared" si="8"/>
        <v>0</v>
      </c>
      <c r="J185" s="14"/>
      <c r="K185" s="14">
        <f t="shared" si="9"/>
        <v>0</v>
      </c>
    </row>
    <row r="186" spans="1:11" x14ac:dyDescent="0.3">
      <c r="A186" s="14" t="s">
        <v>124</v>
      </c>
      <c r="B186" s="14">
        <v>135</v>
      </c>
      <c r="C186" s="14">
        <v>34</v>
      </c>
      <c r="D186" s="14"/>
      <c r="E186" s="14"/>
      <c r="F186" s="14"/>
      <c r="G186" s="55">
        <f t="shared" si="10"/>
        <v>0</v>
      </c>
      <c r="H186" s="14"/>
      <c r="I186" s="14">
        <f t="shared" si="8"/>
        <v>0</v>
      </c>
      <c r="J186" s="14"/>
      <c r="K186" s="14">
        <f t="shared" si="9"/>
        <v>0</v>
      </c>
    </row>
    <row r="187" spans="1:11" x14ac:dyDescent="0.3">
      <c r="A187" s="14" t="s">
        <v>125</v>
      </c>
      <c r="B187" s="14">
        <v>144</v>
      </c>
      <c r="C187" s="14">
        <v>28</v>
      </c>
      <c r="D187" s="14"/>
      <c r="E187" s="14"/>
      <c r="F187" s="14"/>
      <c r="G187" s="55">
        <f t="shared" si="10"/>
        <v>0</v>
      </c>
      <c r="H187" s="14"/>
      <c r="I187" s="14">
        <f t="shared" si="8"/>
        <v>0</v>
      </c>
      <c r="J187" s="14"/>
      <c r="K187" s="14">
        <f t="shared" si="9"/>
        <v>0</v>
      </c>
    </row>
    <row r="188" spans="1:11" x14ac:dyDescent="0.3">
      <c r="A188" s="14" t="s">
        <v>126</v>
      </c>
      <c r="B188" s="14">
        <v>116</v>
      </c>
      <c r="C188" s="14">
        <v>24</v>
      </c>
      <c r="D188" s="14"/>
      <c r="E188" s="14"/>
      <c r="F188" s="14"/>
      <c r="G188" s="55">
        <f t="shared" si="10"/>
        <v>0</v>
      </c>
      <c r="H188" s="14"/>
      <c r="I188" s="14">
        <f t="shared" si="8"/>
        <v>0</v>
      </c>
      <c r="J188" s="14"/>
      <c r="K188" s="14">
        <f t="shared" si="9"/>
        <v>0</v>
      </c>
    </row>
    <row r="189" spans="1:11" x14ac:dyDescent="0.3">
      <c r="A189" s="14" t="s">
        <v>127</v>
      </c>
      <c r="B189" s="14">
        <v>80</v>
      </c>
      <c r="C189" s="14">
        <v>18</v>
      </c>
      <c r="D189" s="14"/>
      <c r="E189" s="14"/>
      <c r="F189" s="14"/>
      <c r="G189" s="55">
        <f t="shared" si="10"/>
        <v>0</v>
      </c>
      <c r="H189" s="14"/>
      <c r="I189" s="14">
        <f t="shared" si="8"/>
        <v>0</v>
      </c>
      <c r="J189" s="14"/>
      <c r="K189" s="14">
        <f t="shared" si="9"/>
        <v>0</v>
      </c>
    </row>
    <row r="190" spans="1:11" x14ac:dyDescent="0.3">
      <c r="A190" s="14" t="s">
        <v>128</v>
      </c>
      <c r="B190" s="14">
        <v>240</v>
      </c>
      <c r="C190" s="14">
        <v>38</v>
      </c>
      <c r="D190" s="14"/>
      <c r="E190" s="14"/>
      <c r="F190" s="14"/>
      <c r="G190" s="55">
        <f t="shared" si="10"/>
        <v>0</v>
      </c>
      <c r="H190" s="14"/>
      <c r="I190" s="14">
        <f t="shared" si="8"/>
        <v>0</v>
      </c>
      <c r="J190" s="14"/>
      <c r="K190" s="14">
        <f t="shared" si="9"/>
        <v>0</v>
      </c>
    </row>
    <row r="191" spans="1:11" x14ac:dyDescent="0.3">
      <c r="A191" s="14" t="s">
        <v>129</v>
      </c>
      <c r="B191" s="14">
        <v>240</v>
      </c>
      <c r="C191" s="14">
        <v>38</v>
      </c>
      <c r="D191" s="14"/>
      <c r="E191" s="14"/>
      <c r="F191" s="14"/>
      <c r="G191" s="55">
        <f t="shared" si="10"/>
        <v>0</v>
      </c>
      <c r="H191" s="14"/>
      <c r="I191" s="14">
        <f t="shared" si="8"/>
        <v>0</v>
      </c>
      <c r="J191" s="14"/>
      <c r="K191" s="14">
        <f t="shared" si="9"/>
        <v>0</v>
      </c>
    </row>
    <row r="192" spans="1:11" x14ac:dyDescent="0.3">
      <c r="A192" s="14" t="s">
        <v>130</v>
      </c>
      <c r="B192" s="14">
        <v>180</v>
      </c>
      <c r="C192" s="14">
        <v>36</v>
      </c>
      <c r="D192" s="14"/>
      <c r="E192" s="14"/>
      <c r="F192" s="14"/>
      <c r="G192" s="55">
        <f t="shared" si="10"/>
        <v>0</v>
      </c>
      <c r="H192" s="14"/>
      <c r="I192" s="14">
        <f t="shared" si="8"/>
        <v>0</v>
      </c>
      <c r="J192" s="14"/>
      <c r="K192" s="14">
        <f t="shared" si="9"/>
        <v>0</v>
      </c>
    </row>
    <row r="193" spans="1:11" x14ac:dyDescent="0.3">
      <c r="A193" s="14" t="s">
        <v>131</v>
      </c>
      <c r="B193" s="14">
        <v>160</v>
      </c>
      <c r="C193" s="14">
        <v>34</v>
      </c>
      <c r="D193" s="14"/>
      <c r="E193" s="14"/>
      <c r="F193" s="14"/>
      <c r="G193" s="55">
        <f t="shared" si="10"/>
        <v>0</v>
      </c>
      <c r="H193" s="14"/>
      <c r="I193" s="14">
        <f t="shared" si="8"/>
        <v>0</v>
      </c>
      <c r="J193" s="14"/>
      <c r="K193" s="14">
        <f t="shared" si="9"/>
        <v>0</v>
      </c>
    </row>
    <row r="194" spans="1:11" x14ac:dyDescent="0.3">
      <c r="A194" s="14" t="s">
        <v>132</v>
      </c>
      <c r="B194" s="14">
        <v>135</v>
      </c>
      <c r="C194" s="14">
        <v>34</v>
      </c>
      <c r="D194" s="14"/>
      <c r="E194" s="14"/>
      <c r="F194" s="14"/>
      <c r="G194" s="55">
        <f t="shared" si="10"/>
        <v>0</v>
      </c>
      <c r="H194" s="14"/>
      <c r="I194" s="14">
        <f t="shared" si="8"/>
        <v>0</v>
      </c>
      <c r="J194" s="14"/>
      <c r="K194" s="14">
        <f t="shared" si="9"/>
        <v>0</v>
      </c>
    </row>
    <row r="195" spans="1:11" x14ac:dyDescent="0.3">
      <c r="A195" s="14" t="s">
        <v>133</v>
      </c>
      <c r="B195" s="14">
        <v>144</v>
      </c>
      <c r="C195" s="14">
        <v>28</v>
      </c>
      <c r="D195" s="14"/>
      <c r="E195" s="14"/>
      <c r="F195" s="14"/>
      <c r="G195" s="55">
        <f t="shared" si="10"/>
        <v>0</v>
      </c>
      <c r="H195" s="14"/>
      <c r="I195" s="14">
        <f t="shared" si="8"/>
        <v>0</v>
      </c>
      <c r="J195" s="14"/>
      <c r="K195" s="14">
        <f t="shared" si="9"/>
        <v>0</v>
      </c>
    </row>
    <row r="196" spans="1:11" x14ac:dyDescent="0.3">
      <c r="A196" s="14" t="s">
        <v>134</v>
      </c>
      <c r="B196" s="14">
        <v>116</v>
      </c>
      <c r="C196" s="14">
        <v>24</v>
      </c>
      <c r="D196" s="14"/>
      <c r="E196" s="14"/>
      <c r="F196" s="14"/>
      <c r="G196" s="55">
        <f t="shared" si="10"/>
        <v>0</v>
      </c>
      <c r="H196" s="14"/>
      <c r="I196" s="14">
        <f t="shared" ref="I196:I251" si="11">+G196+H196</f>
        <v>0</v>
      </c>
      <c r="J196" s="14"/>
      <c r="K196" s="14">
        <f t="shared" ref="K196:K251" si="12">+I196-J196</f>
        <v>0</v>
      </c>
    </row>
    <row r="197" spans="1:11" x14ac:dyDescent="0.3">
      <c r="A197" s="14" t="s">
        <v>135</v>
      </c>
      <c r="B197" s="14">
        <v>80</v>
      </c>
      <c r="C197" s="14">
        <v>18</v>
      </c>
      <c r="D197" s="14"/>
      <c r="E197" s="14"/>
      <c r="F197" s="14"/>
      <c r="G197" s="55">
        <f t="shared" si="10"/>
        <v>0</v>
      </c>
      <c r="H197" s="14"/>
      <c r="I197" s="14">
        <f t="shared" si="11"/>
        <v>0</v>
      </c>
      <c r="J197" s="14"/>
      <c r="K197" s="14">
        <f t="shared" si="12"/>
        <v>0</v>
      </c>
    </row>
    <row r="198" spans="1:11" x14ac:dyDescent="0.3">
      <c r="A198" s="14" t="s">
        <v>136</v>
      </c>
      <c r="B198" s="14">
        <v>144</v>
      </c>
      <c r="C198" s="14">
        <v>28</v>
      </c>
      <c r="D198" s="14"/>
      <c r="E198" s="14"/>
      <c r="F198" s="14"/>
      <c r="G198" s="55">
        <f t="shared" ref="G198:G251" si="13">((D198*C198)+E198)*B198+F198</f>
        <v>0</v>
      </c>
      <c r="H198" s="14"/>
      <c r="I198" s="14">
        <f t="shared" si="11"/>
        <v>0</v>
      </c>
      <c r="J198" s="14"/>
      <c r="K198" s="14">
        <f t="shared" si="12"/>
        <v>0</v>
      </c>
    </row>
    <row r="199" spans="1:11" x14ac:dyDescent="0.3">
      <c r="A199" s="14" t="s">
        <v>137</v>
      </c>
      <c r="B199" s="14">
        <v>130</v>
      </c>
      <c r="C199" s="14">
        <v>24</v>
      </c>
      <c r="D199" s="14"/>
      <c r="E199" s="14"/>
      <c r="F199" s="14"/>
      <c r="G199" s="55">
        <f t="shared" si="13"/>
        <v>0</v>
      </c>
      <c r="H199" s="14"/>
      <c r="I199" s="14">
        <f t="shared" si="11"/>
        <v>0</v>
      </c>
      <c r="J199" s="14"/>
      <c r="K199" s="14">
        <f t="shared" si="12"/>
        <v>0</v>
      </c>
    </row>
    <row r="200" spans="1:11" x14ac:dyDescent="0.3">
      <c r="A200" s="14" t="s">
        <v>138</v>
      </c>
      <c r="B200" s="14">
        <v>131</v>
      </c>
      <c r="C200" s="14">
        <v>24</v>
      </c>
      <c r="D200" s="14"/>
      <c r="E200" s="14"/>
      <c r="F200" s="14"/>
      <c r="G200" s="55">
        <f t="shared" si="13"/>
        <v>0</v>
      </c>
      <c r="H200" s="14"/>
      <c r="I200" s="14">
        <f t="shared" si="11"/>
        <v>0</v>
      </c>
      <c r="J200" s="14"/>
      <c r="K200" s="14">
        <f t="shared" si="12"/>
        <v>0</v>
      </c>
    </row>
    <row r="201" spans="1:11" x14ac:dyDescent="0.3">
      <c r="A201" s="14" t="s">
        <v>139</v>
      </c>
      <c r="B201" s="14">
        <v>131</v>
      </c>
      <c r="C201" s="14">
        <v>20</v>
      </c>
      <c r="D201" s="14"/>
      <c r="E201" s="14"/>
      <c r="F201" s="14"/>
      <c r="G201" s="55">
        <f t="shared" si="13"/>
        <v>0</v>
      </c>
      <c r="H201" s="14"/>
      <c r="I201" s="14">
        <f t="shared" si="11"/>
        <v>0</v>
      </c>
      <c r="J201" s="14"/>
      <c r="K201" s="14">
        <f t="shared" si="12"/>
        <v>0</v>
      </c>
    </row>
    <row r="202" spans="1:11" x14ac:dyDescent="0.3">
      <c r="A202" s="14" t="s">
        <v>218</v>
      </c>
      <c r="B202" s="14">
        <v>108</v>
      </c>
      <c r="C202" s="14">
        <v>20</v>
      </c>
      <c r="D202" s="14"/>
      <c r="E202" s="14"/>
      <c r="F202" s="14"/>
      <c r="G202" s="55">
        <f t="shared" si="13"/>
        <v>0</v>
      </c>
      <c r="H202" s="14"/>
      <c r="I202" s="14">
        <f t="shared" si="11"/>
        <v>0</v>
      </c>
      <c r="J202" s="14"/>
      <c r="K202" s="14">
        <f t="shared" si="12"/>
        <v>0</v>
      </c>
    </row>
    <row r="203" spans="1:11" x14ac:dyDescent="0.3">
      <c r="A203" s="14" t="s">
        <v>219</v>
      </c>
      <c r="B203" s="14">
        <v>135</v>
      </c>
      <c r="C203" s="14">
        <v>34</v>
      </c>
      <c r="D203" s="14"/>
      <c r="E203" s="14"/>
      <c r="F203" s="14"/>
      <c r="G203" s="55">
        <f t="shared" si="13"/>
        <v>0</v>
      </c>
      <c r="H203" s="14"/>
      <c r="I203" s="14">
        <f t="shared" si="11"/>
        <v>0</v>
      </c>
      <c r="J203" s="14"/>
      <c r="K203" s="14">
        <f t="shared" si="12"/>
        <v>0</v>
      </c>
    </row>
    <row r="204" spans="1:11" x14ac:dyDescent="0.3">
      <c r="A204" s="14" t="s">
        <v>140</v>
      </c>
      <c r="B204" s="14">
        <v>135</v>
      </c>
      <c r="C204" s="14">
        <v>22</v>
      </c>
      <c r="D204" s="14"/>
      <c r="E204" s="14"/>
      <c r="F204" s="14"/>
      <c r="G204" s="55">
        <f t="shared" si="13"/>
        <v>0</v>
      </c>
      <c r="H204" s="14"/>
      <c r="I204" s="14">
        <f t="shared" si="11"/>
        <v>0</v>
      </c>
      <c r="J204" s="14"/>
      <c r="K204" s="14">
        <f t="shared" si="12"/>
        <v>0</v>
      </c>
    </row>
    <row r="205" spans="1:11" x14ac:dyDescent="0.3">
      <c r="A205" s="14" t="s">
        <v>141</v>
      </c>
      <c r="B205" s="14">
        <v>80</v>
      </c>
      <c r="C205" s="14">
        <v>18</v>
      </c>
      <c r="D205" s="14"/>
      <c r="E205" s="14"/>
      <c r="F205" s="14"/>
      <c r="G205" s="55">
        <f t="shared" si="13"/>
        <v>0</v>
      </c>
      <c r="H205" s="14"/>
      <c r="I205" s="14">
        <f t="shared" si="11"/>
        <v>0</v>
      </c>
      <c r="J205" s="14"/>
      <c r="K205" s="14">
        <f t="shared" si="12"/>
        <v>0</v>
      </c>
    </row>
    <row r="206" spans="1:11" x14ac:dyDescent="0.3">
      <c r="A206" s="14" t="s">
        <v>220</v>
      </c>
      <c r="B206" s="14">
        <v>77</v>
      </c>
      <c r="C206" s="14">
        <v>18</v>
      </c>
      <c r="D206" s="14"/>
      <c r="E206" s="14"/>
      <c r="F206" s="14"/>
      <c r="G206" s="55">
        <f t="shared" si="13"/>
        <v>0</v>
      </c>
      <c r="H206" s="14"/>
      <c r="I206" s="14">
        <f t="shared" si="11"/>
        <v>0</v>
      </c>
      <c r="J206" s="14"/>
      <c r="K206" s="14">
        <f t="shared" si="12"/>
        <v>0</v>
      </c>
    </row>
    <row r="207" spans="1:11" x14ac:dyDescent="0.3">
      <c r="A207" s="14" t="s">
        <v>352</v>
      </c>
      <c r="B207" s="14">
        <v>77</v>
      </c>
      <c r="C207" s="14">
        <v>18</v>
      </c>
      <c r="D207" s="14"/>
      <c r="E207" s="14"/>
      <c r="F207" s="14"/>
      <c r="G207" s="55">
        <f t="shared" si="13"/>
        <v>0</v>
      </c>
      <c r="H207" s="14"/>
      <c r="I207" s="14">
        <f t="shared" si="11"/>
        <v>0</v>
      </c>
      <c r="J207" s="14"/>
      <c r="K207" s="14">
        <f t="shared" si="12"/>
        <v>0</v>
      </c>
    </row>
    <row r="208" spans="1:11" x14ac:dyDescent="0.3">
      <c r="A208" s="14" t="s">
        <v>221</v>
      </c>
      <c r="B208" s="14">
        <v>126</v>
      </c>
      <c r="C208" s="14">
        <v>22</v>
      </c>
      <c r="D208" s="14"/>
      <c r="E208" s="14"/>
      <c r="F208" s="14"/>
      <c r="G208" s="55">
        <f t="shared" si="13"/>
        <v>0</v>
      </c>
      <c r="H208" s="14"/>
      <c r="I208" s="14">
        <f t="shared" si="11"/>
        <v>0</v>
      </c>
      <c r="J208" s="14"/>
      <c r="K208" s="14">
        <f t="shared" si="12"/>
        <v>0</v>
      </c>
    </row>
    <row r="209" spans="1:11" x14ac:dyDescent="0.3">
      <c r="A209" s="14" t="s">
        <v>142</v>
      </c>
      <c r="B209" s="14">
        <v>144</v>
      </c>
      <c r="C209" s="14">
        <v>28</v>
      </c>
      <c r="D209" s="14"/>
      <c r="E209" s="14"/>
      <c r="F209" s="14"/>
      <c r="G209" s="55">
        <f t="shared" si="13"/>
        <v>0</v>
      </c>
      <c r="H209" s="14"/>
      <c r="I209" s="14">
        <f t="shared" si="11"/>
        <v>0</v>
      </c>
      <c r="J209" s="14"/>
      <c r="K209" s="14">
        <f t="shared" si="12"/>
        <v>0</v>
      </c>
    </row>
    <row r="210" spans="1:11" x14ac:dyDescent="0.3">
      <c r="A210" s="14" t="s">
        <v>143</v>
      </c>
      <c r="B210" s="14">
        <v>240</v>
      </c>
      <c r="C210" s="14">
        <v>38</v>
      </c>
      <c r="D210" s="14"/>
      <c r="E210" s="14"/>
      <c r="F210" s="14"/>
      <c r="G210" s="55">
        <f t="shared" si="13"/>
        <v>0</v>
      </c>
      <c r="H210" s="14"/>
      <c r="I210" s="14">
        <f t="shared" si="11"/>
        <v>0</v>
      </c>
      <c r="J210" s="14"/>
      <c r="K210" s="14">
        <f t="shared" si="12"/>
        <v>0</v>
      </c>
    </row>
    <row r="211" spans="1:11" x14ac:dyDescent="0.3">
      <c r="A211" s="14" t="s">
        <v>144</v>
      </c>
      <c r="B211" s="14">
        <v>160</v>
      </c>
      <c r="C211" s="14">
        <v>34</v>
      </c>
      <c r="D211" s="14"/>
      <c r="E211" s="14"/>
      <c r="F211" s="14"/>
      <c r="G211" s="55">
        <f t="shared" si="13"/>
        <v>0</v>
      </c>
      <c r="H211" s="14"/>
      <c r="I211" s="14">
        <f t="shared" si="11"/>
        <v>0</v>
      </c>
      <c r="J211" s="14"/>
      <c r="K211" s="14">
        <f t="shared" si="12"/>
        <v>0</v>
      </c>
    </row>
    <row r="212" spans="1:11" x14ac:dyDescent="0.3">
      <c r="A212" s="14" t="s">
        <v>145</v>
      </c>
      <c r="B212" s="14">
        <v>135</v>
      </c>
      <c r="C212" s="14">
        <v>34</v>
      </c>
      <c r="D212" s="14"/>
      <c r="E212" s="14"/>
      <c r="F212" s="14"/>
      <c r="G212" s="55">
        <f t="shared" si="13"/>
        <v>0</v>
      </c>
      <c r="H212" s="14"/>
      <c r="I212" s="14">
        <f t="shared" si="11"/>
        <v>0</v>
      </c>
      <c r="J212" s="14"/>
      <c r="K212" s="14">
        <f t="shared" si="12"/>
        <v>0</v>
      </c>
    </row>
    <row r="213" spans="1:11" x14ac:dyDescent="0.3">
      <c r="A213" s="14" t="s">
        <v>146</v>
      </c>
      <c r="B213" s="14">
        <v>144</v>
      </c>
      <c r="C213" s="14">
        <v>28</v>
      </c>
      <c r="D213" s="14"/>
      <c r="E213" s="14"/>
      <c r="F213" s="14"/>
      <c r="G213" s="55">
        <f t="shared" si="13"/>
        <v>0</v>
      </c>
      <c r="H213" s="14"/>
      <c r="I213" s="14">
        <f t="shared" si="11"/>
        <v>0</v>
      </c>
      <c r="J213" s="14"/>
      <c r="K213" s="14">
        <f t="shared" si="12"/>
        <v>0</v>
      </c>
    </row>
    <row r="214" spans="1:11" x14ac:dyDescent="0.3">
      <c r="A214" s="14" t="s">
        <v>147</v>
      </c>
      <c r="B214" s="14">
        <v>116</v>
      </c>
      <c r="C214" s="14">
        <v>24</v>
      </c>
      <c r="D214" s="14"/>
      <c r="E214" s="14"/>
      <c r="F214" s="14"/>
      <c r="G214" s="55">
        <f t="shared" si="13"/>
        <v>0</v>
      </c>
      <c r="H214" s="14"/>
      <c r="I214" s="14">
        <f t="shared" si="11"/>
        <v>0</v>
      </c>
      <c r="J214" s="14"/>
      <c r="K214" s="14">
        <f t="shared" si="12"/>
        <v>0</v>
      </c>
    </row>
    <row r="215" spans="1:11" x14ac:dyDescent="0.3">
      <c r="A215" s="14" t="s">
        <v>222</v>
      </c>
      <c r="B215" s="14">
        <v>80</v>
      </c>
      <c r="C215" s="14">
        <v>18</v>
      </c>
      <c r="D215" s="14"/>
      <c r="E215" s="14"/>
      <c r="F215" s="14"/>
      <c r="G215" s="55">
        <f t="shared" si="13"/>
        <v>0</v>
      </c>
      <c r="H215" s="14"/>
      <c r="I215" s="14">
        <f t="shared" si="11"/>
        <v>0</v>
      </c>
      <c r="J215" s="14"/>
      <c r="K215" s="14">
        <f t="shared" si="12"/>
        <v>0</v>
      </c>
    </row>
    <row r="216" spans="1:11" x14ac:dyDescent="0.3">
      <c r="A216" s="14" t="s">
        <v>353</v>
      </c>
      <c r="B216" s="14">
        <v>126</v>
      </c>
      <c r="C216" s="14">
        <v>22</v>
      </c>
      <c r="D216" s="14"/>
      <c r="E216" s="14"/>
      <c r="F216" s="14"/>
      <c r="G216" s="55">
        <f t="shared" si="13"/>
        <v>0</v>
      </c>
      <c r="H216" s="14"/>
      <c r="I216" s="14">
        <f t="shared" si="11"/>
        <v>0</v>
      </c>
      <c r="J216" s="14"/>
      <c r="K216" s="14">
        <f t="shared" si="12"/>
        <v>0</v>
      </c>
    </row>
    <row r="217" spans="1:11" x14ac:dyDescent="0.3">
      <c r="A217" s="14" t="s">
        <v>231</v>
      </c>
      <c r="B217" s="14">
        <v>850</v>
      </c>
      <c r="C217" s="14">
        <v>30</v>
      </c>
      <c r="D217" s="14"/>
      <c r="E217" s="14"/>
      <c r="F217" s="14"/>
      <c r="G217" s="55">
        <f t="shared" si="13"/>
        <v>0</v>
      </c>
      <c r="H217" s="14"/>
      <c r="I217" s="14">
        <f t="shared" si="11"/>
        <v>0</v>
      </c>
      <c r="J217" s="14"/>
      <c r="K217" s="14">
        <f t="shared" si="12"/>
        <v>0</v>
      </c>
    </row>
    <row r="218" spans="1:11" x14ac:dyDescent="0.3">
      <c r="A218" s="14" t="s">
        <v>232</v>
      </c>
      <c r="B218" s="14">
        <v>850</v>
      </c>
      <c r="C218" s="14">
        <v>30</v>
      </c>
      <c r="D218" s="14"/>
      <c r="E218" s="14"/>
      <c r="F218" s="14"/>
      <c r="G218" s="55">
        <f t="shared" si="13"/>
        <v>0</v>
      </c>
      <c r="H218" s="14"/>
      <c r="I218" s="14">
        <f t="shared" si="11"/>
        <v>0</v>
      </c>
      <c r="J218" s="14"/>
      <c r="K218" s="14">
        <f t="shared" si="12"/>
        <v>0</v>
      </c>
    </row>
    <row r="219" spans="1:11" x14ac:dyDescent="0.3">
      <c r="A219" s="14" t="s">
        <v>233</v>
      </c>
      <c r="B219" s="14">
        <v>850</v>
      </c>
      <c r="C219" s="14">
        <v>30</v>
      </c>
      <c r="D219" s="14"/>
      <c r="E219" s="14"/>
      <c r="F219" s="14"/>
      <c r="G219" s="55">
        <f t="shared" si="13"/>
        <v>0</v>
      </c>
      <c r="H219" s="14"/>
      <c r="I219" s="14">
        <f t="shared" si="11"/>
        <v>0</v>
      </c>
      <c r="J219" s="14"/>
      <c r="K219" s="14">
        <f t="shared" si="12"/>
        <v>0</v>
      </c>
    </row>
    <row r="220" spans="1:11" x14ac:dyDescent="0.3">
      <c r="A220" s="14" t="s">
        <v>234</v>
      </c>
      <c r="B220" s="14">
        <v>850</v>
      </c>
      <c r="C220" s="14">
        <v>30</v>
      </c>
      <c r="D220" s="14"/>
      <c r="E220" s="14"/>
      <c r="F220" s="14"/>
      <c r="G220" s="55">
        <f t="shared" si="13"/>
        <v>0</v>
      </c>
      <c r="H220" s="14"/>
      <c r="I220" s="14">
        <f t="shared" si="11"/>
        <v>0</v>
      </c>
      <c r="J220" s="14"/>
      <c r="K220" s="14">
        <f t="shared" si="12"/>
        <v>0</v>
      </c>
    </row>
    <row r="221" spans="1:11" x14ac:dyDescent="0.3">
      <c r="A221" s="14" t="s">
        <v>235</v>
      </c>
      <c r="B221" s="14">
        <v>850</v>
      </c>
      <c r="C221" s="14">
        <v>30</v>
      </c>
      <c r="D221" s="14"/>
      <c r="E221" s="14"/>
      <c r="F221" s="14"/>
      <c r="G221" s="55">
        <f t="shared" si="13"/>
        <v>0</v>
      </c>
      <c r="H221" s="14"/>
      <c r="I221" s="14">
        <f t="shared" si="11"/>
        <v>0</v>
      </c>
      <c r="J221" s="14"/>
      <c r="K221" s="14">
        <f t="shared" si="12"/>
        <v>0</v>
      </c>
    </row>
    <row r="222" spans="1:11" x14ac:dyDescent="0.3">
      <c r="A222" s="14" t="s">
        <v>236</v>
      </c>
      <c r="B222" s="14">
        <v>850</v>
      </c>
      <c r="C222" s="14">
        <v>30</v>
      </c>
      <c r="D222" s="14"/>
      <c r="E222" s="14"/>
      <c r="F222" s="14"/>
      <c r="G222" s="55">
        <f t="shared" si="13"/>
        <v>0</v>
      </c>
      <c r="H222" s="14"/>
      <c r="I222" s="14">
        <f t="shared" si="11"/>
        <v>0</v>
      </c>
      <c r="J222" s="14"/>
      <c r="K222" s="14">
        <f t="shared" si="12"/>
        <v>0</v>
      </c>
    </row>
    <row r="223" spans="1:11" x14ac:dyDescent="0.3">
      <c r="A223" s="14" t="s">
        <v>237</v>
      </c>
      <c r="B223" s="14">
        <v>850</v>
      </c>
      <c r="C223" s="14">
        <v>30</v>
      </c>
      <c r="D223" s="14"/>
      <c r="E223" s="14"/>
      <c r="F223" s="14"/>
      <c r="G223" s="55">
        <f t="shared" si="13"/>
        <v>0</v>
      </c>
      <c r="H223" s="14"/>
      <c r="I223" s="14">
        <f t="shared" si="11"/>
        <v>0</v>
      </c>
      <c r="J223" s="14"/>
      <c r="K223" s="14">
        <f t="shared" si="12"/>
        <v>0</v>
      </c>
    </row>
    <row r="224" spans="1:11" x14ac:dyDescent="0.3">
      <c r="A224" s="14" t="s">
        <v>238</v>
      </c>
      <c r="B224" s="14">
        <v>600</v>
      </c>
      <c r="C224" s="14">
        <v>30</v>
      </c>
      <c r="D224" s="14"/>
      <c r="E224" s="14"/>
      <c r="F224" s="14"/>
      <c r="G224" s="55">
        <f t="shared" si="13"/>
        <v>0</v>
      </c>
      <c r="H224" s="14"/>
      <c r="I224" s="14">
        <f t="shared" si="11"/>
        <v>0</v>
      </c>
      <c r="J224" s="14"/>
      <c r="K224" s="14">
        <f t="shared" si="12"/>
        <v>0</v>
      </c>
    </row>
    <row r="225" spans="1:11" x14ac:dyDescent="0.3">
      <c r="A225" s="14" t="s">
        <v>239</v>
      </c>
      <c r="B225" s="14">
        <v>600</v>
      </c>
      <c r="C225" s="14">
        <v>30</v>
      </c>
      <c r="D225" s="14"/>
      <c r="E225" s="14"/>
      <c r="F225" s="14"/>
      <c r="G225" s="55">
        <f t="shared" si="13"/>
        <v>0</v>
      </c>
      <c r="H225" s="14"/>
      <c r="I225" s="14">
        <f t="shared" si="11"/>
        <v>0</v>
      </c>
      <c r="J225" s="14"/>
      <c r="K225" s="14">
        <f t="shared" si="12"/>
        <v>0</v>
      </c>
    </row>
    <row r="226" spans="1:11" x14ac:dyDescent="0.3">
      <c r="A226" s="14" t="s">
        <v>240</v>
      </c>
      <c r="B226" s="14">
        <v>600</v>
      </c>
      <c r="C226" s="14">
        <v>30</v>
      </c>
      <c r="D226" s="14"/>
      <c r="E226" s="14"/>
      <c r="F226" s="14"/>
      <c r="G226" s="55">
        <f t="shared" si="13"/>
        <v>0</v>
      </c>
      <c r="H226" s="14"/>
      <c r="I226" s="14">
        <f t="shared" si="11"/>
        <v>0</v>
      </c>
      <c r="J226" s="14"/>
      <c r="K226" s="14">
        <f t="shared" si="12"/>
        <v>0</v>
      </c>
    </row>
    <row r="227" spans="1:11" x14ac:dyDescent="0.3">
      <c r="A227" s="14" t="s">
        <v>241</v>
      </c>
      <c r="B227" s="14">
        <v>600</v>
      </c>
      <c r="C227" s="14">
        <v>30</v>
      </c>
      <c r="D227" s="14"/>
      <c r="E227" s="14"/>
      <c r="F227" s="14"/>
      <c r="G227" s="55">
        <f t="shared" si="13"/>
        <v>0</v>
      </c>
      <c r="H227" s="14"/>
      <c r="I227" s="14">
        <f t="shared" si="11"/>
        <v>0</v>
      </c>
      <c r="J227" s="14"/>
      <c r="K227" s="14">
        <f t="shared" si="12"/>
        <v>0</v>
      </c>
    </row>
    <row r="228" spans="1:11" x14ac:dyDescent="0.3">
      <c r="A228" s="14" t="s">
        <v>242</v>
      </c>
      <c r="B228" s="14">
        <v>600</v>
      </c>
      <c r="C228" s="14">
        <v>30</v>
      </c>
      <c r="D228" s="14"/>
      <c r="E228" s="14"/>
      <c r="F228" s="14"/>
      <c r="G228" s="55">
        <f t="shared" si="13"/>
        <v>0</v>
      </c>
      <c r="H228" s="14"/>
      <c r="I228" s="14">
        <f t="shared" si="11"/>
        <v>0</v>
      </c>
      <c r="J228" s="14"/>
      <c r="K228" s="14">
        <f t="shared" si="12"/>
        <v>0</v>
      </c>
    </row>
    <row r="229" spans="1:11" x14ac:dyDescent="0.3">
      <c r="A229" s="14" t="s">
        <v>243</v>
      </c>
      <c r="B229" s="14">
        <v>600</v>
      </c>
      <c r="C229" s="14">
        <v>30</v>
      </c>
      <c r="D229" s="14"/>
      <c r="E229" s="14"/>
      <c r="F229" s="14"/>
      <c r="G229" s="55">
        <f t="shared" si="13"/>
        <v>0</v>
      </c>
      <c r="H229" s="14"/>
      <c r="I229" s="14">
        <f t="shared" si="11"/>
        <v>0</v>
      </c>
      <c r="J229" s="14"/>
      <c r="K229" s="14">
        <f t="shared" si="12"/>
        <v>0</v>
      </c>
    </row>
    <row r="230" spans="1:11" x14ac:dyDescent="0.3">
      <c r="A230" s="14" t="s">
        <v>254</v>
      </c>
      <c r="B230" s="14">
        <v>1700</v>
      </c>
      <c r="C230" s="14">
        <v>30</v>
      </c>
      <c r="D230" s="14"/>
      <c r="E230" s="14"/>
      <c r="F230" s="14"/>
      <c r="G230" s="55">
        <f t="shared" si="13"/>
        <v>0</v>
      </c>
      <c r="H230" s="14"/>
      <c r="I230" s="14">
        <f t="shared" si="11"/>
        <v>0</v>
      </c>
      <c r="J230" s="14"/>
      <c r="K230" s="14">
        <f t="shared" si="12"/>
        <v>0</v>
      </c>
    </row>
    <row r="231" spans="1:11" x14ac:dyDescent="0.3">
      <c r="A231" s="14" t="s">
        <v>255</v>
      </c>
      <c r="B231" s="14">
        <v>1700</v>
      </c>
      <c r="C231" s="14">
        <v>30</v>
      </c>
      <c r="D231" s="14"/>
      <c r="E231" s="14"/>
      <c r="F231" s="14"/>
      <c r="G231" s="55">
        <f t="shared" si="13"/>
        <v>0</v>
      </c>
      <c r="H231" s="14"/>
      <c r="I231" s="14">
        <f t="shared" si="11"/>
        <v>0</v>
      </c>
      <c r="J231" s="14"/>
      <c r="K231" s="14">
        <f t="shared" si="12"/>
        <v>0</v>
      </c>
    </row>
    <row r="232" spans="1:11" x14ac:dyDescent="0.3">
      <c r="A232" s="14" t="s">
        <v>256</v>
      </c>
      <c r="B232" s="14">
        <v>1700</v>
      </c>
      <c r="C232" s="14">
        <v>30</v>
      </c>
      <c r="D232" s="14"/>
      <c r="E232" s="14"/>
      <c r="F232" s="14"/>
      <c r="G232" s="55">
        <f t="shared" si="13"/>
        <v>0</v>
      </c>
      <c r="H232" s="14"/>
      <c r="I232" s="14">
        <f t="shared" si="11"/>
        <v>0</v>
      </c>
      <c r="J232" s="14"/>
      <c r="K232" s="14">
        <f t="shared" si="12"/>
        <v>0</v>
      </c>
    </row>
    <row r="233" spans="1:11" x14ac:dyDescent="0.3">
      <c r="A233" s="14" t="s">
        <v>257</v>
      </c>
      <c r="B233" s="14">
        <v>1700</v>
      </c>
      <c r="C233" s="14">
        <v>30</v>
      </c>
      <c r="D233" s="14"/>
      <c r="E233" s="14"/>
      <c r="F233" s="14"/>
      <c r="G233" s="55">
        <f t="shared" si="13"/>
        <v>0</v>
      </c>
      <c r="H233" s="14"/>
      <c r="I233" s="14">
        <f t="shared" si="11"/>
        <v>0</v>
      </c>
      <c r="J233" s="14"/>
      <c r="K233" s="14">
        <f t="shared" si="12"/>
        <v>0</v>
      </c>
    </row>
    <row r="234" spans="1:11" x14ac:dyDescent="0.3">
      <c r="A234" s="14" t="s">
        <v>264</v>
      </c>
      <c r="B234" s="14">
        <v>1700</v>
      </c>
      <c r="C234" s="14">
        <v>30</v>
      </c>
      <c r="D234" s="14"/>
      <c r="E234" s="14"/>
      <c r="F234" s="14"/>
      <c r="G234" s="55">
        <f t="shared" si="13"/>
        <v>0</v>
      </c>
      <c r="H234" s="14"/>
      <c r="I234" s="14">
        <f t="shared" si="11"/>
        <v>0</v>
      </c>
      <c r="J234" s="14"/>
      <c r="K234" s="14">
        <f t="shared" si="12"/>
        <v>0</v>
      </c>
    </row>
    <row r="235" spans="1:11" x14ac:dyDescent="0.3">
      <c r="A235" s="14" t="s">
        <v>258</v>
      </c>
      <c r="B235" s="14">
        <v>1700</v>
      </c>
      <c r="C235" s="14">
        <v>30</v>
      </c>
      <c r="D235" s="14"/>
      <c r="E235" s="14"/>
      <c r="F235" s="14"/>
      <c r="G235" s="55">
        <f t="shared" si="13"/>
        <v>0</v>
      </c>
      <c r="H235" s="14"/>
      <c r="I235" s="14">
        <f t="shared" si="11"/>
        <v>0</v>
      </c>
      <c r="J235" s="14"/>
      <c r="K235" s="14">
        <f t="shared" si="12"/>
        <v>0</v>
      </c>
    </row>
    <row r="236" spans="1:11" x14ac:dyDescent="0.3">
      <c r="A236" s="14" t="s">
        <v>259</v>
      </c>
      <c r="B236" s="14">
        <v>1200</v>
      </c>
      <c r="C236" s="14">
        <v>30</v>
      </c>
      <c r="D236" s="14"/>
      <c r="E236" s="14"/>
      <c r="F236" s="14"/>
      <c r="G236" s="55">
        <f t="shared" si="13"/>
        <v>0</v>
      </c>
      <c r="H236" s="14"/>
      <c r="I236" s="14">
        <f t="shared" si="11"/>
        <v>0</v>
      </c>
      <c r="J236" s="14"/>
      <c r="K236" s="14">
        <f t="shared" si="12"/>
        <v>0</v>
      </c>
    </row>
    <row r="237" spans="1:11" x14ac:dyDescent="0.3">
      <c r="A237" s="14" t="s">
        <v>260</v>
      </c>
      <c r="B237" s="14">
        <v>1200</v>
      </c>
      <c r="C237" s="14">
        <v>30</v>
      </c>
      <c r="D237" s="14"/>
      <c r="E237" s="14"/>
      <c r="F237" s="14"/>
      <c r="G237" s="55">
        <f t="shared" si="13"/>
        <v>0</v>
      </c>
      <c r="H237" s="14"/>
      <c r="I237" s="14">
        <f t="shared" si="11"/>
        <v>0</v>
      </c>
      <c r="J237" s="14"/>
      <c r="K237" s="14">
        <f t="shared" si="12"/>
        <v>0</v>
      </c>
    </row>
    <row r="238" spans="1:11" x14ac:dyDescent="0.3">
      <c r="A238" s="14" t="s">
        <v>261</v>
      </c>
      <c r="B238" s="14">
        <v>1200</v>
      </c>
      <c r="C238" s="14">
        <v>30</v>
      </c>
      <c r="D238" s="14"/>
      <c r="E238" s="14"/>
      <c r="F238" s="14"/>
      <c r="G238" s="55">
        <f t="shared" si="13"/>
        <v>0</v>
      </c>
      <c r="H238" s="14"/>
      <c r="I238" s="14">
        <f t="shared" si="11"/>
        <v>0</v>
      </c>
      <c r="J238" s="14"/>
      <c r="K238" s="14">
        <f t="shared" si="12"/>
        <v>0</v>
      </c>
    </row>
    <row r="239" spans="1:11" x14ac:dyDescent="0.3">
      <c r="A239" s="14" t="s">
        <v>262</v>
      </c>
      <c r="B239" s="14">
        <v>1200</v>
      </c>
      <c r="C239" s="14">
        <v>30</v>
      </c>
      <c r="D239" s="14"/>
      <c r="E239" s="14"/>
      <c r="F239" s="14"/>
      <c r="G239" s="55">
        <f t="shared" si="13"/>
        <v>0</v>
      </c>
      <c r="H239" s="14"/>
      <c r="I239" s="14">
        <f t="shared" si="11"/>
        <v>0</v>
      </c>
      <c r="J239" s="14"/>
      <c r="K239" s="14">
        <f t="shared" si="12"/>
        <v>0</v>
      </c>
    </row>
    <row r="240" spans="1:11" x14ac:dyDescent="0.3">
      <c r="A240" s="14" t="s">
        <v>263</v>
      </c>
      <c r="B240" s="14">
        <v>1200</v>
      </c>
      <c r="C240" s="14">
        <v>30</v>
      </c>
      <c r="D240" s="14"/>
      <c r="E240" s="14"/>
      <c r="F240" s="14"/>
      <c r="G240" s="55">
        <f t="shared" si="13"/>
        <v>0</v>
      </c>
      <c r="H240" s="14"/>
      <c r="I240" s="14">
        <f t="shared" si="11"/>
        <v>0</v>
      </c>
      <c r="J240" s="14"/>
      <c r="K240" s="14">
        <f t="shared" si="12"/>
        <v>0</v>
      </c>
    </row>
    <row r="241" spans="1:11" x14ac:dyDescent="0.3">
      <c r="A241" s="14" t="s">
        <v>265</v>
      </c>
      <c r="B241" s="14">
        <v>1200</v>
      </c>
      <c r="C241" s="14">
        <v>30</v>
      </c>
      <c r="D241" s="14"/>
      <c r="E241" s="14"/>
      <c r="F241" s="14"/>
      <c r="G241" s="55">
        <f t="shared" si="13"/>
        <v>0</v>
      </c>
      <c r="H241" s="14"/>
      <c r="I241" s="14">
        <f t="shared" si="11"/>
        <v>0</v>
      </c>
      <c r="J241" s="14"/>
      <c r="K241" s="14">
        <f t="shared" si="12"/>
        <v>0</v>
      </c>
    </row>
    <row r="242" spans="1:11" x14ac:dyDescent="0.3">
      <c r="A242" s="14" t="s">
        <v>244</v>
      </c>
      <c r="B242" s="14"/>
      <c r="C242" s="14">
        <v>30</v>
      </c>
      <c r="D242" s="14"/>
      <c r="E242" s="14"/>
      <c r="F242" s="14"/>
      <c r="G242" s="55">
        <f t="shared" si="13"/>
        <v>0</v>
      </c>
      <c r="H242" s="14"/>
      <c r="I242" s="14">
        <f t="shared" si="11"/>
        <v>0</v>
      </c>
      <c r="J242" s="14"/>
      <c r="K242" s="14">
        <f t="shared" si="12"/>
        <v>0</v>
      </c>
    </row>
    <row r="243" spans="1:11" x14ac:dyDescent="0.3">
      <c r="A243" s="14" t="s">
        <v>245</v>
      </c>
      <c r="B243" s="14"/>
      <c r="C243" s="14">
        <v>30</v>
      </c>
      <c r="D243" s="14"/>
      <c r="E243" s="14"/>
      <c r="F243" s="14"/>
      <c r="G243" s="55">
        <f t="shared" si="13"/>
        <v>0</v>
      </c>
      <c r="H243" s="14"/>
      <c r="I243" s="14">
        <f t="shared" si="11"/>
        <v>0</v>
      </c>
      <c r="J243" s="14"/>
      <c r="K243" s="14">
        <f t="shared" si="12"/>
        <v>0</v>
      </c>
    </row>
    <row r="244" spans="1:11" x14ac:dyDescent="0.3">
      <c r="A244" s="14" t="s">
        <v>246</v>
      </c>
      <c r="B244" s="14">
        <v>600</v>
      </c>
      <c r="C244" s="14">
        <v>30</v>
      </c>
      <c r="D244" s="14"/>
      <c r="E244" s="14"/>
      <c r="F244" s="14"/>
      <c r="G244" s="55">
        <f t="shared" si="13"/>
        <v>0</v>
      </c>
      <c r="H244" s="14"/>
      <c r="I244" s="14">
        <f t="shared" si="11"/>
        <v>0</v>
      </c>
      <c r="J244" s="14"/>
      <c r="K244" s="14">
        <f t="shared" si="12"/>
        <v>0</v>
      </c>
    </row>
    <row r="245" spans="1:11" x14ac:dyDescent="0.3">
      <c r="A245" s="14" t="s">
        <v>247</v>
      </c>
      <c r="B245" s="14">
        <v>600</v>
      </c>
      <c r="C245" s="14">
        <v>30</v>
      </c>
      <c r="D245" s="14"/>
      <c r="E245" s="14"/>
      <c r="F245" s="14"/>
      <c r="G245" s="55">
        <f t="shared" si="13"/>
        <v>0</v>
      </c>
      <c r="H245" s="14"/>
      <c r="I245" s="14">
        <f t="shared" si="11"/>
        <v>0</v>
      </c>
      <c r="J245" s="14"/>
      <c r="K245" s="14">
        <f t="shared" si="12"/>
        <v>0</v>
      </c>
    </row>
    <row r="246" spans="1:11" x14ac:dyDescent="0.3">
      <c r="A246" s="14" t="s">
        <v>248</v>
      </c>
      <c r="B246" s="14">
        <v>600</v>
      </c>
      <c r="C246" s="14">
        <v>30</v>
      </c>
      <c r="D246" s="14"/>
      <c r="E246" s="14"/>
      <c r="F246" s="14"/>
      <c r="G246" s="55">
        <f t="shared" si="13"/>
        <v>0</v>
      </c>
      <c r="H246" s="14"/>
      <c r="I246" s="14">
        <f t="shared" si="11"/>
        <v>0</v>
      </c>
      <c r="J246" s="14"/>
      <c r="K246" s="14">
        <f t="shared" si="12"/>
        <v>0</v>
      </c>
    </row>
    <row r="247" spans="1:11" x14ac:dyDescent="0.3">
      <c r="A247" s="14" t="s">
        <v>249</v>
      </c>
      <c r="B247" s="14">
        <v>500</v>
      </c>
      <c r="C247" s="14">
        <v>30</v>
      </c>
      <c r="D247" s="14"/>
      <c r="E247" s="14"/>
      <c r="F247" s="14"/>
      <c r="G247" s="55">
        <f t="shared" si="13"/>
        <v>0</v>
      </c>
      <c r="H247" s="14"/>
      <c r="I247" s="14">
        <f t="shared" si="11"/>
        <v>0</v>
      </c>
      <c r="J247" s="14"/>
      <c r="K247" s="14">
        <f t="shared" si="12"/>
        <v>0</v>
      </c>
    </row>
    <row r="248" spans="1:11" x14ac:dyDescent="0.3">
      <c r="A248" s="14" t="s">
        <v>250</v>
      </c>
      <c r="B248" s="14">
        <v>500</v>
      </c>
      <c r="C248" s="14">
        <v>30</v>
      </c>
      <c r="D248" s="14"/>
      <c r="E248" s="14"/>
      <c r="F248" s="14"/>
      <c r="G248" s="55">
        <f t="shared" si="13"/>
        <v>0</v>
      </c>
      <c r="H248" s="14"/>
      <c r="I248" s="14">
        <f t="shared" si="11"/>
        <v>0</v>
      </c>
      <c r="J248" s="14"/>
      <c r="K248" s="14">
        <f t="shared" si="12"/>
        <v>0</v>
      </c>
    </row>
    <row r="249" spans="1:11" x14ac:dyDescent="0.3">
      <c r="A249" s="14" t="s">
        <v>251</v>
      </c>
      <c r="B249" s="14">
        <v>400</v>
      </c>
      <c r="C249" s="14">
        <v>30</v>
      </c>
      <c r="D249" s="14"/>
      <c r="E249" s="14"/>
      <c r="F249" s="14"/>
      <c r="G249" s="55">
        <f t="shared" si="13"/>
        <v>0</v>
      </c>
      <c r="H249" s="14"/>
      <c r="I249" s="14">
        <f t="shared" si="11"/>
        <v>0</v>
      </c>
      <c r="J249" s="14"/>
      <c r="K249" s="14">
        <f t="shared" si="12"/>
        <v>0</v>
      </c>
    </row>
    <row r="250" spans="1:11" x14ac:dyDescent="0.3">
      <c r="A250" s="14" t="s">
        <v>252</v>
      </c>
      <c r="B250" s="14">
        <v>400</v>
      </c>
      <c r="C250" s="14">
        <v>30</v>
      </c>
      <c r="D250" s="14"/>
      <c r="E250" s="14"/>
      <c r="F250" s="14"/>
      <c r="G250" s="55">
        <f t="shared" si="13"/>
        <v>0</v>
      </c>
      <c r="H250" s="14"/>
      <c r="I250" s="14">
        <f t="shared" si="11"/>
        <v>0</v>
      </c>
      <c r="J250" s="14"/>
      <c r="K250" s="14">
        <f t="shared" si="12"/>
        <v>0</v>
      </c>
    </row>
    <row r="251" spans="1:11" x14ac:dyDescent="0.3">
      <c r="A251" s="14" t="s">
        <v>253</v>
      </c>
      <c r="B251" s="14">
        <v>400</v>
      </c>
      <c r="C251" s="14">
        <v>30</v>
      </c>
      <c r="D251" s="14"/>
      <c r="E251" s="14"/>
      <c r="F251" s="14"/>
      <c r="G251" s="55">
        <f t="shared" si="13"/>
        <v>0</v>
      </c>
      <c r="H251" s="14"/>
      <c r="I251" s="14">
        <f t="shared" si="11"/>
        <v>0</v>
      </c>
      <c r="J251" s="14"/>
      <c r="K251" s="14">
        <f t="shared" si="12"/>
        <v>0</v>
      </c>
    </row>
  </sheetData>
  <phoneticPr fontId="2" type="noConversion"/>
  <conditionalFormatting sqref="K5:K96">
    <cfRule type="cellIs" dxfId="1" priority="2" operator="notEqual">
      <formula>0</formula>
    </cfRule>
  </conditionalFormatting>
  <conditionalFormatting sqref="K97:K251">
    <cfRule type="cellIs" dxfId="0" priority="1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이름이 지정된 범위</vt:lpstr>
      </vt:variant>
      <vt:variant>
        <vt:i4>7</vt:i4>
      </vt:variant>
    </vt:vector>
  </HeadingPairs>
  <TitlesOfParts>
    <vt:vector size="15" baseType="lpstr">
      <vt:lpstr>셀</vt:lpstr>
      <vt:lpstr>루</vt:lpstr>
      <vt:lpstr>리</vt:lpstr>
      <vt:lpstr>W1,캡창고</vt:lpstr>
      <vt:lpstr>W2</vt:lpstr>
      <vt:lpstr>W3</vt:lpstr>
      <vt:lpstr>액젓,비트,완제품</vt:lpstr>
      <vt:lpstr>TOTAL</vt:lpstr>
      <vt:lpstr>'W1,캡창고'!Print_Area</vt:lpstr>
      <vt:lpstr>'W2'!Print_Area</vt:lpstr>
      <vt:lpstr>'W3'!Print_Area</vt:lpstr>
      <vt:lpstr>루!Print_Area</vt:lpstr>
      <vt:lpstr>리!Print_Area</vt:lpstr>
      <vt:lpstr>셀!Print_Area</vt:lpstr>
      <vt:lpstr>'액젓,비트,완제품'!Print_Area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</dc:creator>
  <cp:lastModifiedBy>김훈희</cp:lastModifiedBy>
  <cp:lastPrinted>2026-06-29T02:25:24Z</cp:lastPrinted>
  <dcterms:created xsi:type="dcterms:W3CDTF">2026-06-28T09:59:53Z</dcterms:created>
  <dcterms:modified xsi:type="dcterms:W3CDTF">2026-07-02T15:46:23Z</dcterms:modified>
</cp:coreProperties>
</file>